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Z:\RH RESTAURADO\21 - FOLHA DE PAGAMENTO\RELATORIOS FOLHA 2026\09-2026\PAGAMENTO\CONCRETA\"/>
    </mc:Choice>
  </mc:AlternateContent>
  <xr:revisionPtr revIDLastSave="0" documentId="13_ncr:1_{9836491C-3078-4B4D-98D8-9D486B48DF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K3" i="1"/>
  <c r="K4" i="1"/>
  <c r="K5" i="1"/>
  <c r="K6" i="1"/>
  <c r="K7" i="1"/>
  <c r="K8" i="1"/>
  <c r="K9" i="1"/>
  <c r="K10" i="1"/>
  <c r="K11" i="1"/>
  <c r="K12" i="1"/>
  <c r="K13" i="1"/>
  <c r="K14" i="1"/>
  <c r="K2" i="1"/>
</calcChain>
</file>

<file path=xl/sharedStrings.xml><?xml version="1.0" encoding="utf-8"?>
<sst xmlns="http://schemas.openxmlformats.org/spreadsheetml/2006/main" count="49" uniqueCount="37">
  <si>
    <t>NOME</t>
  </si>
  <si>
    <t>CHAPA</t>
  </si>
  <si>
    <t>CODTIPO</t>
  </si>
  <si>
    <t>FGTS QUITACAO</t>
  </si>
  <si>
    <t>FGTS MES ANTERIOR</t>
  </si>
  <si>
    <t>FGTS AVISO PREVIO</t>
  </si>
  <si>
    <t>FGTS ARTIGO 22</t>
  </si>
  <si>
    <t>FGTS 13 SALARIO INDENIZADO</t>
  </si>
  <si>
    <t>FGTS 13 Sal rescisao</t>
  </si>
  <si>
    <t>ALVARO RUPPENTHAL</t>
  </si>
  <si>
    <t>00001831</t>
  </si>
  <si>
    <t>N</t>
  </si>
  <si>
    <t>ANTONIO MARCOS DE PAULA LINO</t>
  </si>
  <si>
    <t>00001459</t>
  </si>
  <si>
    <t>BENTO PEREIRA AMADO</t>
  </si>
  <si>
    <t>00001644</t>
  </si>
  <si>
    <t>CLAUDIO MODESTO</t>
  </si>
  <si>
    <t>00001586</t>
  </si>
  <si>
    <t>DANIEL DA SILVA FERREIRA</t>
  </si>
  <si>
    <t>00001758</t>
  </si>
  <si>
    <t>DIEGO RODRIGO DA CUNHA PARDINHO</t>
  </si>
  <si>
    <t>00001968</t>
  </si>
  <si>
    <t>ELIANA APARECIDA DOMINGUES EMILIO</t>
  </si>
  <si>
    <t>00001695</t>
  </si>
  <si>
    <t>JORGE LUIS IBARRA GOMEZ</t>
  </si>
  <si>
    <t>00001794</t>
  </si>
  <si>
    <t>JOSE DOS SANTOS</t>
  </si>
  <si>
    <t>00001701</t>
  </si>
  <si>
    <t>JOSE SEBASTIAO DOS SANTOS</t>
  </si>
  <si>
    <t>00001650</t>
  </si>
  <si>
    <t>REGINALDO CARVALHO SANTOS</t>
  </si>
  <si>
    <t>00001971</t>
  </si>
  <si>
    <t>ROMUALDO ADRIANO MARTINEZ PERES</t>
  </si>
  <si>
    <t>00001930</t>
  </si>
  <si>
    <t>VITOR CARLOS TAVARES</t>
  </si>
  <si>
    <t>00001859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</si>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</sst>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\-[$R$-416]\ #,##0.00;[$R$-416]\ #,##0.00;@"/>
    <numFmt numFmtId="165" formatCode="[$R$-416]\ #,##0.00;\-[$R$-416]\ #,##0.00"/>
  </numFmts>
  <fonts count="3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  <font>
      <sz val="8.25"/>
      <color rgb="FF28282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D7EADD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164" fontId="2" fillId="3" borderId="1" xfId="0" applyNumberFormat="1" applyFont="1" applyFill="1" applyBorder="1" applyAlignment="1">
      <alignment horizontal="right" vertical="center" readingOrder="1"/>
    </xf>
    <xf numFmtId="164" fontId="2" fillId="4" borderId="1" xfId="0" applyNumberFormat="1" applyFont="1" applyFill="1" applyBorder="1" applyAlignment="1">
      <alignment horizontal="right" vertical="center" readingOrder="1"/>
    </xf>
    <xf numFmtId="164" fontId="2" fillId="3" borderId="1" xfId="0" applyNumberFormat="1" applyFont="1" applyFill="1" applyBorder="1" applyAlignment="1">
      <alignment vertical="center" readingOrder="1"/>
    </xf>
    <xf numFmtId="49" fontId="1" fillId="2" borderId="1" xfId="0" applyNumberFormat="1" applyFont="1" applyFill="1" applyBorder="1" applyAlignment="1">
      <alignment vertical="center" readingOrder="1"/>
    </xf>
    <xf numFmtId="164" fontId="2" fillId="4" borderId="1" xfId="0" applyNumberFormat="1" applyFont="1" applyFill="1" applyBorder="1" applyAlignment="1">
      <alignment vertical="center" readingOrder="1"/>
    </xf>
    <xf numFmtId="165" fontId="0" fillId="0" borderId="0" xfId="0" applyNumberFormat="1"/>
    <xf numFmtId="165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5"/>
  <sheetViews>
    <sheetView tabSelected="1" workbookViewId="0">
      <selection activeCell="K23" sqref="K23"/>
    </sheetView>
  </sheetViews>
  <sheetFormatPr defaultRowHeight="15" x14ac:dyDescent="0.25"/>
  <cols>
    <col min="1" max="1" width="30" bestFit="1" customWidth="1"/>
    <col min="2" max="2" width="7.85546875" bestFit="1" customWidth="1"/>
    <col min="3" max="3" width="7.5703125" bestFit="1" customWidth="1"/>
    <col min="4" max="4" width="12.7109375" bestFit="1" customWidth="1"/>
    <col min="5" max="5" width="15.85546875" bestFit="1" customWidth="1"/>
    <col min="6" max="6" width="15.28515625" bestFit="1" customWidth="1"/>
    <col min="7" max="7" width="12.7109375" bestFit="1" customWidth="1"/>
    <col min="8" max="8" width="23.28515625" bestFit="1" customWidth="1"/>
    <col min="9" max="9" width="15.28515625" bestFit="1" customWidth="1"/>
    <col min="10" max="10" width="10.42578125" bestFit="1" customWidth="1"/>
    <col min="11" max="11" width="10.7109375" bestFit="1" customWidth="1"/>
  </cols>
  <sheetData>
    <row r="1" spans="1:11" ht="15" customHeight="1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36</v>
      </c>
    </row>
    <row r="2" spans="1:11" ht="15" customHeight="1" x14ac:dyDescent="0.25">
      <c r="A2" s="1" t="s">
        <v>9</v>
      </c>
      <c r="B2" s="1" t="s">
        <v>10</v>
      </c>
      <c r="C2" s="1" t="s">
        <v>11</v>
      </c>
      <c r="D2" s="4">
        <v>46.08</v>
      </c>
      <c r="E2" s="4">
        <v>268.36</v>
      </c>
      <c r="F2" s="2"/>
      <c r="G2" s="2">
        <v>861.15</v>
      </c>
      <c r="H2" s="2"/>
      <c r="I2" s="2">
        <v>144.08000000000001</v>
      </c>
      <c r="J2" s="6">
        <v>1319.67</v>
      </c>
      <c r="K2" s="7">
        <f>D2+F2+H2+I2</f>
        <v>190.16000000000003</v>
      </c>
    </row>
    <row r="3" spans="1:11" ht="15" customHeight="1" x14ac:dyDescent="0.25">
      <c r="A3" s="1" t="s">
        <v>12</v>
      </c>
      <c r="B3" s="1" t="s">
        <v>13</v>
      </c>
      <c r="C3" s="1" t="s">
        <v>11</v>
      </c>
      <c r="D3" s="4">
        <v>466.74</v>
      </c>
      <c r="E3" s="4"/>
      <c r="F3" s="2">
        <v>412.9</v>
      </c>
      <c r="G3" s="2">
        <v>5454.03</v>
      </c>
      <c r="H3" s="2">
        <v>29.39</v>
      </c>
      <c r="I3" s="2">
        <v>146.94999999999999</v>
      </c>
      <c r="J3" s="6">
        <v>6510.01</v>
      </c>
      <c r="K3" s="7">
        <f t="shared" ref="K3:K14" si="0">D3+F3+H3+I3</f>
        <v>1055.98</v>
      </c>
    </row>
    <row r="4" spans="1:11" ht="15" customHeight="1" x14ac:dyDescent="0.25">
      <c r="A4" s="1" t="s">
        <v>14</v>
      </c>
      <c r="B4" s="1" t="s">
        <v>15</v>
      </c>
      <c r="C4" s="1" t="s">
        <v>11</v>
      </c>
      <c r="D4" s="4">
        <v>191.69</v>
      </c>
      <c r="E4" s="4"/>
      <c r="F4" s="2">
        <v>23.46</v>
      </c>
      <c r="G4" s="2">
        <v>1648.61</v>
      </c>
      <c r="H4" s="2"/>
      <c r="I4" s="2">
        <v>177.14</v>
      </c>
      <c r="J4" s="3">
        <v>2040.9</v>
      </c>
      <c r="K4" s="7">
        <f t="shared" si="0"/>
        <v>392.28999999999996</v>
      </c>
    </row>
    <row r="5" spans="1:11" ht="15" customHeight="1" x14ac:dyDescent="0.25">
      <c r="A5" s="1" t="s">
        <v>16</v>
      </c>
      <c r="B5" s="1" t="s">
        <v>17</v>
      </c>
      <c r="C5" s="1" t="s">
        <v>11</v>
      </c>
      <c r="D5" s="4">
        <v>38.96</v>
      </c>
      <c r="E5" s="4">
        <v>176.17</v>
      </c>
      <c r="F5" s="2">
        <v>37.68</v>
      </c>
      <c r="G5" s="2">
        <v>1999.14</v>
      </c>
      <c r="H5" s="2"/>
      <c r="I5" s="2">
        <v>125.62</v>
      </c>
      <c r="J5" s="3">
        <v>2377.5700000000002</v>
      </c>
      <c r="K5" s="7">
        <f t="shared" si="0"/>
        <v>202.26</v>
      </c>
    </row>
    <row r="6" spans="1:11" ht="15" customHeight="1" x14ac:dyDescent="0.25">
      <c r="A6" s="1" t="s">
        <v>18</v>
      </c>
      <c r="B6" s="1" t="s">
        <v>19</v>
      </c>
      <c r="C6" s="1" t="s">
        <v>11</v>
      </c>
      <c r="D6" s="4">
        <v>213.32</v>
      </c>
      <c r="E6" s="4"/>
      <c r="F6" s="2">
        <v>270.14</v>
      </c>
      <c r="G6" s="2">
        <v>1092.3599999999999</v>
      </c>
      <c r="H6" s="2">
        <v>23.09</v>
      </c>
      <c r="I6" s="2">
        <v>207.81</v>
      </c>
      <c r="J6" s="3">
        <v>1806.72</v>
      </c>
      <c r="K6" s="7">
        <f t="shared" si="0"/>
        <v>714.3599999999999</v>
      </c>
    </row>
    <row r="7" spans="1:11" ht="15" customHeight="1" x14ac:dyDescent="0.25">
      <c r="A7" s="1" t="s">
        <v>20</v>
      </c>
      <c r="B7" s="1" t="s">
        <v>21</v>
      </c>
      <c r="C7" s="1" t="s">
        <v>11</v>
      </c>
      <c r="D7" s="4">
        <v>137.35</v>
      </c>
      <c r="E7" s="4"/>
      <c r="F7" s="2"/>
      <c r="G7" s="2"/>
      <c r="H7" s="2"/>
      <c r="I7" s="2">
        <v>34.46</v>
      </c>
      <c r="J7" s="3">
        <v>171.81</v>
      </c>
      <c r="K7" s="7">
        <f t="shared" si="0"/>
        <v>171.81</v>
      </c>
    </row>
    <row r="8" spans="1:11" ht="15" customHeight="1" x14ac:dyDescent="0.25">
      <c r="A8" s="1" t="s">
        <v>22</v>
      </c>
      <c r="B8" s="1" t="s">
        <v>23</v>
      </c>
      <c r="C8" s="1" t="s">
        <v>11</v>
      </c>
      <c r="D8" s="4">
        <v>6.68</v>
      </c>
      <c r="E8" s="4">
        <v>188.65</v>
      </c>
      <c r="F8" s="2">
        <v>202.67</v>
      </c>
      <c r="G8" s="2">
        <v>748.66</v>
      </c>
      <c r="H8" s="2">
        <v>16.829999999999998</v>
      </c>
      <c r="I8" s="2">
        <v>134.69999999999999</v>
      </c>
      <c r="J8" s="3">
        <v>1298.19</v>
      </c>
      <c r="K8" s="7">
        <f t="shared" si="0"/>
        <v>360.88</v>
      </c>
    </row>
    <row r="9" spans="1:11" ht="15" customHeight="1" x14ac:dyDescent="0.25">
      <c r="A9" s="1" t="s">
        <v>24</v>
      </c>
      <c r="B9" s="1" t="s">
        <v>25</v>
      </c>
      <c r="C9" s="1" t="s">
        <v>11</v>
      </c>
      <c r="D9" s="4">
        <v>225.28</v>
      </c>
      <c r="E9" s="4"/>
      <c r="F9" s="2">
        <v>269.35000000000002</v>
      </c>
      <c r="G9" s="2">
        <v>1083.8800000000001</v>
      </c>
      <c r="H9" s="2">
        <v>23.11</v>
      </c>
      <c r="I9" s="2">
        <v>208.03</v>
      </c>
      <c r="J9" s="3">
        <v>1809.65</v>
      </c>
      <c r="K9" s="7">
        <f t="shared" si="0"/>
        <v>725.77</v>
      </c>
    </row>
    <row r="10" spans="1:11" ht="15" customHeight="1" x14ac:dyDescent="0.25">
      <c r="A10" s="1" t="s">
        <v>26</v>
      </c>
      <c r="B10" s="1" t="s">
        <v>27</v>
      </c>
      <c r="C10" s="1" t="s">
        <v>11</v>
      </c>
      <c r="D10" s="4">
        <v>417.76</v>
      </c>
      <c r="E10" s="4"/>
      <c r="F10" s="2">
        <v>344.1</v>
      </c>
      <c r="G10" s="2">
        <v>1639.9</v>
      </c>
      <c r="H10" s="2">
        <v>29.62</v>
      </c>
      <c r="I10" s="2">
        <v>266.57</v>
      </c>
      <c r="J10" s="3">
        <v>2697.95</v>
      </c>
      <c r="K10" s="7">
        <f t="shared" si="0"/>
        <v>1058.05</v>
      </c>
    </row>
    <row r="11" spans="1:11" ht="15" customHeight="1" x14ac:dyDescent="0.25">
      <c r="A11" s="1" t="s">
        <v>28</v>
      </c>
      <c r="B11" s="1" t="s">
        <v>29</v>
      </c>
      <c r="C11" s="1" t="s">
        <v>11</v>
      </c>
      <c r="D11" s="4">
        <v>231.34</v>
      </c>
      <c r="E11" s="4"/>
      <c r="F11" s="2">
        <v>330.11</v>
      </c>
      <c r="G11" s="2">
        <v>2012.11</v>
      </c>
      <c r="H11" s="2">
        <v>24.33</v>
      </c>
      <c r="I11" s="2">
        <v>218.97</v>
      </c>
      <c r="J11" s="3">
        <v>2816.86</v>
      </c>
      <c r="K11" s="7">
        <f t="shared" si="0"/>
        <v>804.75000000000011</v>
      </c>
    </row>
    <row r="12" spans="1:11" ht="15" customHeight="1" x14ac:dyDescent="0.25">
      <c r="A12" s="1" t="s">
        <v>30</v>
      </c>
      <c r="B12" s="1" t="s">
        <v>31</v>
      </c>
      <c r="C12" s="1" t="s">
        <v>11</v>
      </c>
      <c r="D12" s="4"/>
      <c r="E12" s="4">
        <v>128.72</v>
      </c>
      <c r="F12" s="2"/>
      <c r="G12" s="2">
        <v>56.51</v>
      </c>
      <c r="H12" s="2"/>
      <c r="I12" s="2">
        <v>12.56</v>
      </c>
      <c r="J12" s="3">
        <v>197.79</v>
      </c>
      <c r="K12" s="7">
        <f t="shared" si="0"/>
        <v>12.56</v>
      </c>
    </row>
    <row r="13" spans="1:11" ht="15" customHeight="1" x14ac:dyDescent="0.25">
      <c r="A13" s="1" t="s">
        <v>32</v>
      </c>
      <c r="B13" s="1" t="s">
        <v>33</v>
      </c>
      <c r="C13" s="1" t="s">
        <v>11</v>
      </c>
      <c r="D13" s="4">
        <v>5.61</v>
      </c>
      <c r="E13" s="4">
        <v>245.99</v>
      </c>
      <c r="F13" s="2">
        <v>325.72000000000003</v>
      </c>
      <c r="G13" s="2">
        <v>546.61</v>
      </c>
      <c r="H13" s="2">
        <v>27.14</v>
      </c>
      <c r="I13" s="2">
        <v>81.430000000000007</v>
      </c>
      <c r="J13" s="3">
        <v>1232.5</v>
      </c>
      <c r="K13" s="7">
        <f t="shared" si="0"/>
        <v>439.90000000000003</v>
      </c>
    </row>
    <row r="14" spans="1:11" ht="15" customHeight="1" x14ac:dyDescent="0.25">
      <c r="A14" s="1" t="s">
        <v>34</v>
      </c>
      <c r="B14" s="1" t="s">
        <v>35</v>
      </c>
      <c r="C14" s="1" t="s">
        <v>11</v>
      </c>
      <c r="D14" s="4">
        <v>39.83</v>
      </c>
      <c r="E14" s="4">
        <v>283.13</v>
      </c>
      <c r="F14" s="2">
        <v>236.84</v>
      </c>
      <c r="G14" s="2">
        <v>983.62</v>
      </c>
      <c r="H14" s="2">
        <v>20.38</v>
      </c>
      <c r="I14" s="2">
        <v>142.69999999999999</v>
      </c>
      <c r="J14" s="3">
        <v>1706.5</v>
      </c>
      <c r="K14" s="7">
        <f t="shared" si="0"/>
        <v>439.75</v>
      </c>
    </row>
    <row r="15" spans="1:11" ht="15" customHeight="1" x14ac:dyDescent="0.25">
      <c r="A15" s="5"/>
      <c r="B15" s="5"/>
      <c r="C15" s="5"/>
      <c r="D15" s="6">
        <v>2020.64</v>
      </c>
      <c r="E15" s="6">
        <v>1291.02</v>
      </c>
      <c r="F15" s="3">
        <v>2452.9699999999998</v>
      </c>
      <c r="G15" s="3">
        <v>18126.580000000002</v>
      </c>
      <c r="H15" s="3">
        <v>193.89</v>
      </c>
      <c r="I15" s="3">
        <v>1901.02</v>
      </c>
      <c r="J15" s="3">
        <v>25986.12</v>
      </c>
      <c r="K15" s="8">
        <f>SUM(K2:K14)</f>
        <v>6568.52</v>
      </c>
    </row>
  </sheetData>
  <pageMargins left="1" right="1" top="1" bottom="1" header="0.3" footer="0.3"/>
  <pageSetup orientation="portrait"/>
  <ignoredErrors>
    <ignoredError sqref="A1:D15 F2:J15 E1:E15 F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Henrique Silva</cp:lastModifiedBy>
  <dcterms:created xsi:type="dcterms:W3CDTF">2026-10-05T18:28:28Z</dcterms:created>
  <dcterms:modified xsi:type="dcterms:W3CDTF">2026-10-05T18:30:59Z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