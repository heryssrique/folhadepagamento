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/>
  <mc:AlternateContent xmlns:mc="http://schemas.openxmlformats.org/markup-compatibility/2006">
    <mc:Choice Requires="x15">
      <x15ac:absPath xmlns:x15ac="http://schemas.microsoft.com/office/spreadsheetml/2010/11/ac" url="Z:\RH RESTAURADO\21 - FOLHA DE PAGAMENTO\RELATORIOS FOLHA 2026\09-2026\PAGAMENTO\CONCRETA\"/>
    </mc:Choice>
  </mc:AlternateContent>
  <xr:revisionPtr revIDLastSave="0" documentId="13_ncr:1_{A1301A84-B28C-429E-BEA4-B4DD71A627FF}" xr6:coauthVersionLast="47" xr6:coauthVersionMax="47" xr10:uidLastSave="{00000000-0000-0000-0000-000000000000}"/>
  <bookViews>
    <workbookView xWindow="22932" yWindow="4524" windowWidth="23256" windowHeight="12396" xr2:uid="{00000000-000D-0000-FFFF-FFFF00000000}"/>
  </bookViews>
  <sheets>
    <sheet name="BASES" sheetId="1" r:id="rId1"/>
    <sheet name="RATEIOS" sheetId="7" r:id="rId2"/>
    <sheet name="eSocial" sheetId="5" r:id="rId3"/>
    <sheet name="DCTFWeb" sheetId="6" r:id="rId4"/>
    <sheet name="GRRF" sheetId="3" r:id="rId5"/>
    <sheet name="EMPRESTIMOS" sheetId="4" r:id="rId6"/>
    <sheet name="EMPRESAS" sheetId="2" state="hidden" r:id="rId7"/>
  </sheets>
  <definedNames>
    <definedName name="_xlnm._FilterDatabase" localSheetId="0" hidden="1">BASES!$A$19:$AP$279</definedName>
    <definedName name="_xlnm._FilterDatabase" localSheetId="5" hidden="1">EMPRESTIMOS!$A$1:$K$79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V4" i="1"/>
  <c r="J80" i="4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2" i="4"/>
  <c r="S10" i="1"/>
  <c r="R8" i="1"/>
  <c r="S7" i="1"/>
  <c r="R7" i="1"/>
  <c r="R6" i="1"/>
  <c r="S6" i="1"/>
  <c r="S5" i="1"/>
  <c r="S4" i="1"/>
  <c r="P5" i="1"/>
  <c r="O4" i="1"/>
  <c r="O6" i="1"/>
  <c r="F279" i="1"/>
  <c r="F18" i="1" s="1"/>
  <c r="G279" i="1"/>
  <c r="G18" i="1" s="1"/>
  <c r="H279" i="1"/>
  <c r="H18" i="1" s="1"/>
  <c r="I279" i="1"/>
  <c r="I18" i="1" s="1"/>
  <c r="N9" i="1" s="1"/>
  <c r="J279" i="1"/>
  <c r="J18" i="1" s="1"/>
  <c r="K279" i="1"/>
  <c r="K18" i="1" s="1"/>
  <c r="L279" i="1"/>
  <c r="L18" i="1" s="1"/>
  <c r="M279" i="1"/>
  <c r="M18" i="1" s="1"/>
  <c r="N279" i="1"/>
  <c r="N18" i="1" s="1"/>
  <c r="O279" i="1"/>
  <c r="O18" i="1" s="1"/>
  <c r="M8" i="1" s="1"/>
  <c r="P279" i="1"/>
  <c r="P18" i="1" s="1"/>
  <c r="N8" i="1" s="1"/>
  <c r="Q279" i="1"/>
  <c r="Q18" i="1" s="1"/>
  <c r="N5" i="1" s="1"/>
  <c r="R279" i="1"/>
  <c r="R18" i="1" s="1"/>
  <c r="O10" i="1" s="1"/>
  <c r="S279" i="1"/>
  <c r="S18" i="1" s="1"/>
  <c r="O11" i="1" s="1"/>
  <c r="T279" i="1"/>
  <c r="T18" i="1" s="1"/>
  <c r="O12" i="1" s="1"/>
  <c r="U279" i="1"/>
  <c r="U18" i="1" s="1"/>
  <c r="O9" i="1" s="1"/>
  <c r="V279" i="1"/>
  <c r="V18" i="1" s="1"/>
  <c r="W279" i="1"/>
  <c r="W18" i="1" s="1"/>
  <c r="X279" i="1"/>
  <c r="X18" i="1" s="1"/>
  <c r="E279" i="1"/>
  <c r="E18" i="1" s="1"/>
  <c r="D5" i="5"/>
  <c r="AM279" i="1"/>
  <c r="AN279" i="1"/>
  <c r="AO279" i="1"/>
  <c r="AP279" i="1"/>
  <c r="D14" i="5"/>
  <c r="P13" i="1" s="1"/>
  <c r="AJ211" i="1"/>
  <c r="AK211" i="1"/>
  <c r="AJ212" i="1"/>
  <c r="AK212" i="1"/>
  <c r="AJ213" i="1"/>
  <c r="AK213" i="1"/>
  <c r="AJ214" i="1"/>
  <c r="AK214" i="1"/>
  <c r="AJ215" i="1"/>
  <c r="AK215" i="1"/>
  <c r="AJ216" i="1"/>
  <c r="AK216" i="1"/>
  <c r="AJ217" i="1"/>
  <c r="AK217" i="1"/>
  <c r="AJ218" i="1"/>
  <c r="AK218" i="1"/>
  <c r="AJ219" i="1"/>
  <c r="AK219" i="1"/>
  <c r="AJ220" i="1"/>
  <c r="AK220" i="1"/>
  <c r="AJ221" i="1"/>
  <c r="AK221" i="1"/>
  <c r="AJ222" i="1"/>
  <c r="AK222" i="1"/>
  <c r="AJ223" i="1"/>
  <c r="AK223" i="1"/>
  <c r="AJ224" i="1"/>
  <c r="AK224" i="1"/>
  <c r="AJ225" i="1"/>
  <c r="AK225" i="1"/>
  <c r="AJ226" i="1"/>
  <c r="AK226" i="1"/>
  <c r="AJ227" i="1"/>
  <c r="AK227" i="1"/>
  <c r="AJ228" i="1"/>
  <c r="AK228" i="1"/>
  <c r="AJ229" i="1"/>
  <c r="AK229" i="1"/>
  <c r="AJ230" i="1"/>
  <c r="AK230" i="1"/>
  <c r="AJ231" i="1"/>
  <c r="AK231" i="1"/>
  <c r="AJ232" i="1"/>
  <c r="AK232" i="1"/>
  <c r="AJ233" i="1"/>
  <c r="AK233" i="1"/>
  <c r="AJ234" i="1"/>
  <c r="AK234" i="1"/>
  <c r="AJ235" i="1"/>
  <c r="AK235" i="1"/>
  <c r="AJ236" i="1"/>
  <c r="AK236" i="1"/>
  <c r="AJ237" i="1"/>
  <c r="AK237" i="1"/>
  <c r="AJ238" i="1"/>
  <c r="AK238" i="1"/>
  <c r="AJ239" i="1"/>
  <c r="AK239" i="1"/>
  <c r="AJ240" i="1"/>
  <c r="AK240" i="1"/>
  <c r="AJ241" i="1"/>
  <c r="AK241" i="1"/>
  <c r="AJ242" i="1"/>
  <c r="AK242" i="1"/>
  <c r="AJ243" i="1"/>
  <c r="AK243" i="1"/>
  <c r="AJ244" i="1"/>
  <c r="AK244" i="1"/>
  <c r="AJ245" i="1"/>
  <c r="AK245" i="1"/>
  <c r="AJ246" i="1"/>
  <c r="AK246" i="1"/>
  <c r="AJ247" i="1"/>
  <c r="AK247" i="1"/>
  <c r="AJ248" i="1"/>
  <c r="AK248" i="1"/>
  <c r="AJ249" i="1"/>
  <c r="AK249" i="1"/>
  <c r="AJ250" i="1"/>
  <c r="AK250" i="1"/>
  <c r="AJ251" i="1"/>
  <c r="AK251" i="1"/>
  <c r="AJ252" i="1"/>
  <c r="AK252" i="1"/>
  <c r="AJ253" i="1"/>
  <c r="AK253" i="1"/>
  <c r="AJ254" i="1"/>
  <c r="AK254" i="1"/>
  <c r="AJ255" i="1"/>
  <c r="AK255" i="1"/>
  <c r="AJ256" i="1"/>
  <c r="AK256" i="1"/>
  <c r="AJ257" i="1"/>
  <c r="AK257" i="1"/>
  <c r="AJ258" i="1"/>
  <c r="AK258" i="1"/>
  <c r="AJ259" i="1"/>
  <c r="AK259" i="1"/>
  <c r="AJ260" i="1"/>
  <c r="AK260" i="1"/>
  <c r="AJ261" i="1"/>
  <c r="AK261" i="1"/>
  <c r="AJ262" i="1"/>
  <c r="AK262" i="1"/>
  <c r="AJ263" i="1"/>
  <c r="AK263" i="1"/>
  <c r="AJ264" i="1"/>
  <c r="AK264" i="1"/>
  <c r="AJ265" i="1"/>
  <c r="AK265" i="1"/>
  <c r="AJ266" i="1"/>
  <c r="AK266" i="1"/>
  <c r="AJ267" i="1"/>
  <c r="AK267" i="1"/>
  <c r="AJ268" i="1"/>
  <c r="AK268" i="1"/>
  <c r="AJ269" i="1"/>
  <c r="AK269" i="1"/>
  <c r="AJ270" i="1"/>
  <c r="AK270" i="1"/>
  <c r="AJ271" i="1"/>
  <c r="AK271" i="1"/>
  <c r="AJ272" i="1"/>
  <c r="AK272" i="1"/>
  <c r="AJ273" i="1"/>
  <c r="AK273" i="1"/>
  <c r="AJ274" i="1"/>
  <c r="AK274" i="1"/>
  <c r="AJ275" i="1"/>
  <c r="AK275" i="1"/>
  <c r="AJ276" i="1"/>
  <c r="AK276" i="1"/>
  <c r="AJ277" i="1"/>
  <c r="AK277" i="1"/>
  <c r="AJ278" i="1"/>
  <c r="AK278" i="1"/>
  <c r="AJ167" i="1"/>
  <c r="AK167" i="1"/>
  <c r="AJ168" i="1"/>
  <c r="AK168" i="1"/>
  <c r="AJ169" i="1"/>
  <c r="AK169" i="1"/>
  <c r="AJ170" i="1"/>
  <c r="AK170" i="1"/>
  <c r="AJ171" i="1"/>
  <c r="AK171" i="1"/>
  <c r="AJ172" i="1"/>
  <c r="AK172" i="1"/>
  <c r="AJ173" i="1"/>
  <c r="AK173" i="1"/>
  <c r="AJ174" i="1"/>
  <c r="AK174" i="1"/>
  <c r="AJ175" i="1"/>
  <c r="AK175" i="1"/>
  <c r="AJ176" i="1"/>
  <c r="AK176" i="1"/>
  <c r="AJ177" i="1"/>
  <c r="AK177" i="1"/>
  <c r="AJ178" i="1"/>
  <c r="AK178" i="1"/>
  <c r="AJ179" i="1"/>
  <c r="AK179" i="1"/>
  <c r="AJ180" i="1"/>
  <c r="AK180" i="1"/>
  <c r="AJ181" i="1"/>
  <c r="AK181" i="1"/>
  <c r="AJ182" i="1"/>
  <c r="AK182" i="1"/>
  <c r="AJ183" i="1"/>
  <c r="AK183" i="1"/>
  <c r="AJ184" i="1"/>
  <c r="AK184" i="1"/>
  <c r="AJ185" i="1"/>
  <c r="AK185" i="1"/>
  <c r="AJ186" i="1"/>
  <c r="AK186" i="1"/>
  <c r="AJ187" i="1"/>
  <c r="AK187" i="1"/>
  <c r="AJ188" i="1"/>
  <c r="AK188" i="1"/>
  <c r="AJ189" i="1"/>
  <c r="AK189" i="1"/>
  <c r="AJ190" i="1"/>
  <c r="AK190" i="1"/>
  <c r="AJ191" i="1"/>
  <c r="AK191" i="1"/>
  <c r="AJ192" i="1"/>
  <c r="AK192" i="1"/>
  <c r="AJ193" i="1"/>
  <c r="AK193" i="1"/>
  <c r="AJ194" i="1"/>
  <c r="AK194" i="1"/>
  <c r="AJ195" i="1"/>
  <c r="AK195" i="1"/>
  <c r="AJ196" i="1"/>
  <c r="AK196" i="1"/>
  <c r="AJ197" i="1"/>
  <c r="AK197" i="1"/>
  <c r="AJ198" i="1"/>
  <c r="AK198" i="1"/>
  <c r="AJ199" i="1"/>
  <c r="AK199" i="1"/>
  <c r="AJ200" i="1"/>
  <c r="AK200" i="1"/>
  <c r="AJ201" i="1"/>
  <c r="AK201" i="1"/>
  <c r="AJ202" i="1"/>
  <c r="AK202" i="1"/>
  <c r="AJ203" i="1"/>
  <c r="AK203" i="1"/>
  <c r="AJ204" i="1"/>
  <c r="AK204" i="1"/>
  <c r="AJ205" i="1"/>
  <c r="AK205" i="1"/>
  <c r="AJ206" i="1"/>
  <c r="AK206" i="1"/>
  <c r="AJ207" i="1"/>
  <c r="AK207" i="1"/>
  <c r="AJ208" i="1"/>
  <c r="AK208" i="1"/>
  <c r="AJ209" i="1"/>
  <c r="AK209" i="1"/>
  <c r="AJ210" i="1"/>
  <c r="AK210" i="1"/>
  <c r="AJ140" i="1"/>
  <c r="AK140" i="1"/>
  <c r="AJ141" i="1"/>
  <c r="AK141" i="1"/>
  <c r="AJ142" i="1"/>
  <c r="AK142" i="1"/>
  <c r="AJ143" i="1"/>
  <c r="AK143" i="1"/>
  <c r="AJ144" i="1"/>
  <c r="AK144" i="1"/>
  <c r="AJ145" i="1"/>
  <c r="AK145" i="1"/>
  <c r="AJ146" i="1"/>
  <c r="AK146" i="1"/>
  <c r="AJ147" i="1"/>
  <c r="AK147" i="1"/>
  <c r="AJ148" i="1"/>
  <c r="AK148" i="1"/>
  <c r="AJ149" i="1"/>
  <c r="AK149" i="1"/>
  <c r="AJ150" i="1"/>
  <c r="AK150" i="1"/>
  <c r="AJ151" i="1"/>
  <c r="AK151" i="1"/>
  <c r="AJ152" i="1"/>
  <c r="AK152" i="1"/>
  <c r="AJ153" i="1"/>
  <c r="AK153" i="1"/>
  <c r="AJ154" i="1"/>
  <c r="AK154" i="1"/>
  <c r="AJ155" i="1"/>
  <c r="AK155" i="1"/>
  <c r="AJ156" i="1"/>
  <c r="AK156" i="1"/>
  <c r="AJ157" i="1"/>
  <c r="AK157" i="1"/>
  <c r="AJ158" i="1"/>
  <c r="AK158" i="1"/>
  <c r="AJ159" i="1"/>
  <c r="AK159" i="1"/>
  <c r="AJ160" i="1"/>
  <c r="AK160" i="1"/>
  <c r="AJ161" i="1"/>
  <c r="AK161" i="1"/>
  <c r="AJ162" i="1"/>
  <c r="AK162" i="1"/>
  <c r="AJ163" i="1"/>
  <c r="AK163" i="1"/>
  <c r="AJ164" i="1"/>
  <c r="AK164" i="1"/>
  <c r="AJ165" i="1"/>
  <c r="AK165" i="1"/>
  <c r="AJ166" i="1"/>
  <c r="AK166" i="1"/>
  <c r="AJ123" i="1"/>
  <c r="AK123" i="1"/>
  <c r="AJ124" i="1"/>
  <c r="AK124" i="1"/>
  <c r="AJ125" i="1"/>
  <c r="AK125" i="1"/>
  <c r="AJ126" i="1"/>
  <c r="AK126" i="1"/>
  <c r="AJ127" i="1"/>
  <c r="AK127" i="1"/>
  <c r="AJ128" i="1"/>
  <c r="AK128" i="1"/>
  <c r="AJ129" i="1"/>
  <c r="AK129" i="1"/>
  <c r="AJ130" i="1"/>
  <c r="AK130" i="1"/>
  <c r="AJ131" i="1"/>
  <c r="AK131" i="1"/>
  <c r="AJ132" i="1"/>
  <c r="AK132" i="1"/>
  <c r="AJ133" i="1"/>
  <c r="AK133" i="1"/>
  <c r="AJ134" i="1"/>
  <c r="AK134" i="1"/>
  <c r="AJ135" i="1"/>
  <c r="AK135" i="1"/>
  <c r="AJ136" i="1"/>
  <c r="AK136" i="1"/>
  <c r="AJ137" i="1"/>
  <c r="AK137" i="1"/>
  <c r="AJ138" i="1"/>
  <c r="AK138" i="1"/>
  <c r="AJ139" i="1"/>
  <c r="AK139" i="1"/>
  <c r="AJ101" i="1"/>
  <c r="AK101" i="1"/>
  <c r="AJ102" i="1"/>
  <c r="AK102" i="1"/>
  <c r="AJ103" i="1"/>
  <c r="AK103" i="1"/>
  <c r="AJ104" i="1"/>
  <c r="AK104" i="1"/>
  <c r="AJ105" i="1"/>
  <c r="AK105" i="1"/>
  <c r="AJ106" i="1"/>
  <c r="AK106" i="1"/>
  <c r="AJ107" i="1"/>
  <c r="AK107" i="1"/>
  <c r="AJ108" i="1"/>
  <c r="AK108" i="1"/>
  <c r="AJ109" i="1"/>
  <c r="AK109" i="1"/>
  <c r="AJ110" i="1"/>
  <c r="AK110" i="1"/>
  <c r="AJ111" i="1"/>
  <c r="AK111" i="1"/>
  <c r="AJ112" i="1"/>
  <c r="AK112" i="1"/>
  <c r="AJ113" i="1"/>
  <c r="AK113" i="1"/>
  <c r="AJ114" i="1"/>
  <c r="AK114" i="1"/>
  <c r="AJ115" i="1"/>
  <c r="AK115" i="1"/>
  <c r="AJ116" i="1"/>
  <c r="AK116" i="1"/>
  <c r="AJ117" i="1"/>
  <c r="AK117" i="1"/>
  <c r="AJ118" i="1"/>
  <c r="AK118" i="1"/>
  <c r="AJ119" i="1"/>
  <c r="AK119" i="1"/>
  <c r="AJ120" i="1"/>
  <c r="AK120" i="1"/>
  <c r="AJ121" i="1"/>
  <c r="AK121" i="1"/>
  <c r="AJ122" i="1"/>
  <c r="AK122" i="1"/>
  <c r="AJ43" i="1"/>
  <c r="AK43" i="1"/>
  <c r="AJ44" i="1"/>
  <c r="AK44" i="1"/>
  <c r="AJ45" i="1"/>
  <c r="AK45" i="1"/>
  <c r="AJ46" i="1"/>
  <c r="AK46" i="1"/>
  <c r="AJ47" i="1"/>
  <c r="AK47" i="1"/>
  <c r="AJ48" i="1"/>
  <c r="AK48" i="1"/>
  <c r="AJ49" i="1"/>
  <c r="AK49" i="1"/>
  <c r="AJ50" i="1"/>
  <c r="AK50" i="1"/>
  <c r="AJ51" i="1"/>
  <c r="AK51" i="1"/>
  <c r="AJ52" i="1"/>
  <c r="AK52" i="1"/>
  <c r="AJ53" i="1"/>
  <c r="AK53" i="1"/>
  <c r="AJ54" i="1"/>
  <c r="AK54" i="1"/>
  <c r="AJ55" i="1"/>
  <c r="AK55" i="1"/>
  <c r="AJ56" i="1"/>
  <c r="AK56" i="1"/>
  <c r="AJ57" i="1"/>
  <c r="AK57" i="1"/>
  <c r="AJ58" i="1"/>
  <c r="AK58" i="1"/>
  <c r="AJ59" i="1"/>
  <c r="AK59" i="1"/>
  <c r="AJ60" i="1"/>
  <c r="AK60" i="1"/>
  <c r="AJ61" i="1"/>
  <c r="AK61" i="1"/>
  <c r="AJ62" i="1"/>
  <c r="AK62" i="1"/>
  <c r="AJ63" i="1"/>
  <c r="AK63" i="1"/>
  <c r="AJ64" i="1"/>
  <c r="AK64" i="1"/>
  <c r="AJ65" i="1"/>
  <c r="AK65" i="1"/>
  <c r="AJ66" i="1"/>
  <c r="AK66" i="1"/>
  <c r="AJ67" i="1"/>
  <c r="AK67" i="1"/>
  <c r="AJ68" i="1"/>
  <c r="AK68" i="1"/>
  <c r="AJ69" i="1"/>
  <c r="AK69" i="1"/>
  <c r="AJ70" i="1"/>
  <c r="AK70" i="1"/>
  <c r="AJ71" i="1"/>
  <c r="AK71" i="1"/>
  <c r="AJ72" i="1"/>
  <c r="AK72" i="1"/>
  <c r="AJ73" i="1"/>
  <c r="AK73" i="1"/>
  <c r="AJ74" i="1"/>
  <c r="AK74" i="1"/>
  <c r="AJ75" i="1"/>
  <c r="AK75" i="1"/>
  <c r="AJ76" i="1"/>
  <c r="AK76" i="1"/>
  <c r="AJ77" i="1"/>
  <c r="AK77" i="1"/>
  <c r="AJ78" i="1"/>
  <c r="AK78" i="1"/>
  <c r="AJ79" i="1"/>
  <c r="AK79" i="1"/>
  <c r="AJ80" i="1"/>
  <c r="AK80" i="1"/>
  <c r="AJ81" i="1"/>
  <c r="AK81" i="1"/>
  <c r="AJ82" i="1"/>
  <c r="AK82" i="1"/>
  <c r="AJ83" i="1"/>
  <c r="AK83" i="1"/>
  <c r="AJ84" i="1"/>
  <c r="AK84" i="1"/>
  <c r="AJ85" i="1"/>
  <c r="AK85" i="1"/>
  <c r="AJ86" i="1"/>
  <c r="AK86" i="1"/>
  <c r="AJ87" i="1"/>
  <c r="AK87" i="1"/>
  <c r="AJ88" i="1"/>
  <c r="AK88" i="1"/>
  <c r="AJ89" i="1"/>
  <c r="AK89" i="1"/>
  <c r="AJ90" i="1"/>
  <c r="AK90" i="1"/>
  <c r="AJ91" i="1"/>
  <c r="AK91" i="1"/>
  <c r="AJ92" i="1"/>
  <c r="AK92" i="1"/>
  <c r="AJ93" i="1"/>
  <c r="AK93" i="1"/>
  <c r="AJ94" i="1"/>
  <c r="AK94" i="1"/>
  <c r="AJ95" i="1"/>
  <c r="AK95" i="1"/>
  <c r="AJ96" i="1"/>
  <c r="AK96" i="1"/>
  <c r="AJ97" i="1"/>
  <c r="AK97" i="1"/>
  <c r="AJ98" i="1"/>
  <c r="AK98" i="1"/>
  <c r="AJ99" i="1"/>
  <c r="AK99" i="1"/>
  <c r="AJ100" i="1"/>
  <c r="AK10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20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21" i="1"/>
  <c r="AK22" i="1"/>
  <c r="AK23" i="1"/>
  <c r="AK24" i="1"/>
  <c r="AK25" i="1"/>
  <c r="AK26" i="1"/>
  <c r="AK27" i="1"/>
  <c r="AK28" i="1"/>
  <c r="AK20" i="1"/>
  <c r="X6" i="1"/>
  <c r="X4" i="1"/>
  <c r="V6" i="1"/>
  <c r="D18" i="5"/>
  <c r="N4" i="1"/>
  <c r="P4" i="1"/>
  <c r="AI279" i="1"/>
  <c r="AH279" i="1"/>
  <c r="E2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D80" i="4"/>
  <c r="K8" i="3"/>
  <c r="AE267" i="1"/>
  <c r="AF267" i="1"/>
  <c r="AE268" i="1"/>
  <c r="AF268" i="1"/>
  <c r="AE269" i="1"/>
  <c r="AF269" i="1"/>
  <c r="AE270" i="1"/>
  <c r="AF270" i="1"/>
  <c r="AE271" i="1"/>
  <c r="AF271" i="1"/>
  <c r="AE272" i="1"/>
  <c r="AF272" i="1"/>
  <c r="AE273" i="1"/>
  <c r="AF273" i="1"/>
  <c r="AE274" i="1"/>
  <c r="AF274" i="1"/>
  <c r="AE275" i="1"/>
  <c r="AF275" i="1"/>
  <c r="AE276" i="1"/>
  <c r="AF276" i="1"/>
  <c r="AE277" i="1"/>
  <c r="AF277" i="1"/>
  <c r="AE278" i="1"/>
  <c r="AF278" i="1"/>
  <c r="AE239" i="1"/>
  <c r="AF239" i="1"/>
  <c r="AE240" i="1"/>
  <c r="AF240" i="1"/>
  <c r="AE241" i="1"/>
  <c r="AF241" i="1"/>
  <c r="AE242" i="1"/>
  <c r="AF242" i="1"/>
  <c r="AE243" i="1"/>
  <c r="AF243" i="1"/>
  <c r="AE244" i="1"/>
  <c r="AF244" i="1"/>
  <c r="AE245" i="1"/>
  <c r="AF245" i="1"/>
  <c r="AE246" i="1"/>
  <c r="AF246" i="1"/>
  <c r="AE247" i="1"/>
  <c r="AF247" i="1"/>
  <c r="AE248" i="1"/>
  <c r="AF248" i="1"/>
  <c r="AE249" i="1"/>
  <c r="AF249" i="1"/>
  <c r="AE250" i="1"/>
  <c r="AF250" i="1"/>
  <c r="AE251" i="1"/>
  <c r="AF251" i="1"/>
  <c r="AE252" i="1"/>
  <c r="AF252" i="1"/>
  <c r="AE253" i="1"/>
  <c r="AF253" i="1"/>
  <c r="AE254" i="1"/>
  <c r="AF254" i="1"/>
  <c r="AE255" i="1"/>
  <c r="AF255" i="1"/>
  <c r="AE256" i="1"/>
  <c r="AF256" i="1"/>
  <c r="AE257" i="1"/>
  <c r="AF257" i="1"/>
  <c r="AE258" i="1"/>
  <c r="AF258" i="1"/>
  <c r="AE259" i="1"/>
  <c r="AF259" i="1"/>
  <c r="AE260" i="1"/>
  <c r="AF260" i="1"/>
  <c r="AE261" i="1"/>
  <c r="AF261" i="1"/>
  <c r="AE262" i="1"/>
  <c r="AF262" i="1"/>
  <c r="AE263" i="1"/>
  <c r="AF263" i="1"/>
  <c r="AE264" i="1"/>
  <c r="AF264" i="1"/>
  <c r="AE265" i="1"/>
  <c r="AF265" i="1"/>
  <c r="AE266" i="1"/>
  <c r="AF266" i="1"/>
  <c r="AE228" i="1"/>
  <c r="AF228" i="1"/>
  <c r="AE229" i="1"/>
  <c r="AF229" i="1"/>
  <c r="AE230" i="1"/>
  <c r="AF230" i="1"/>
  <c r="AE231" i="1"/>
  <c r="AF231" i="1"/>
  <c r="AE232" i="1"/>
  <c r="AF232" i="1"/>
  <c r="AE233" i="1"/>
  <c r="AF233" i="1"/>
  <c r="AE234" i="1"/>
  <c r="AF234" i="1"/>
  <c r="AE235" i="1"/>
  <c r="AF235" i="1"/>
  <c r="AE236" i="1"/>
  <c r="AF236" i="1"/>
  <c r="AE237" i="1"/>
  <c r="AF237" i="1"/>
  <c r="AE238" i="1"/>
  <c r="AF238" i="1"/>
  <c r="AE215" i="1"/>
  <c r="AF215" i="1"/>
  <c r="AE216" i="1"/>
  <c r="AF216" i="1"/>
  <c r="AE217" i="1"/>
  <c r="AF217" i="1"/>
  <c r="AE218" i="1"/>
  <c r="AF218" i="1"/>
  <c r="AE219" i="1"/>
  <c r="AF219" i="1"/>
  <c r="AE220" i="1"/>
  <c r="AF220" i="1"/>
  <c r="AE221" i="1"/>
  <c r="AF221" i="1"/>
  <c r="AE222" i="1"/>
  <c r="AF222" i="1"/>
  <c r="AE223" i="1"/>
  <c r="AF223" i="1"/>
  <c r="AE224" i="1"/>
  <c r="AF224" i="1"/>
  <c r="AE225" i="1"/>
  <c r="AF225" i="1"/>
  <c r="AE226" i="1"/>
  <c r="AF226" i="1"/>
  <c r="AE227" i="1"/>
  <c r="AF227" i="1"/>
  <c r="AE214" i="1"/>
  <c r="AF214" i="1"/>
  <c r="AE211" i="1"/>
  <c r="AF211" i="1"/>
  <c r="AE212" i="1"/>
  <c r="AF212" i="1"/>
  <c r="AE213" i="1"/>
  <c r="AF213" i="1"/>
  <c r="AE167" i="1"/>
  <c r="AF167" i="1"/>
  <c r="AE168" i="1"/>
  <c r="AF168" i="1"/>
  <c r="AE169" i="1"/>
  <c r="AF169" i="1"/>
  <c r="AE170" i="1"/>
  <c r="AF170" i="1"/>
  <c r="AE171" i="1"/>
  <c r="AF171" i="1"/>
  <c r="AE172" i="1"/>
  <c r="AF172" i="1"/>
  <c r="AE173" i="1"/>
  <c r="AF173" i="1"/>
  <c r="AE174" i="1"/>
  <c r="AF174" i="1"/>
  <c r="AE175" i="1"/>
  <c r="AF175" i="1"/>
  <c r="AE176" i="1"/>
  <c r="AF176" i="1"/>
  <c r="AE177" i="1"/>
  <c r="AF177" i="1"/>
  <c r="AE178" i="1"/>
  <c r="AF178" i="1"/>
  <c r="AE179" i="1"/>
  <c r="AF179" i="1"/>
  <c r="AE180" i="1"/>
  <c r="AF180" i="1"/>
  <c r="AE181" i="1"/>
  <c r="AF181" i="1"/>
  <c r="AE182" i="1"/>
  <c r="AF182" i="1"/>
  <c r="AE183" i="1"/>
  <c r="AF183" i="1"/>
  <c r="AE184" i="1"/>
  <c r="AF184" i="1"/>
  <c r="AE185" i="1"/>
  <c r="AF185" i="1"/>
  <c r="AE186" i="1"/>
  <c r="AF186" i="1"/>
  <c r="AE187" i="1"/>
  <c r="AF187" i="1"/>
  <c r="AE188" i="1"/>
  <c r="AF188" i="1"/>
  <c r="AE189" i="1"/>
  <c r="AF189" i="1"/>
  <c r="AE190" i="1"/>
  <c r="AF190" i="1"/>
  <c r="AE191" i="1"/>
  <c r="AF191" i="1"/>
  <c r="AE192" i="1"/>
  <c r="AF192" i="1"/>
  <c r="AE193" i="1"/>
  <c r="AF193" i="1"/>
  <c r="AE194" i="1"/>
  <c r="AF194" i="1"/>
  <c r="AE195" i="1"/>
  <c r="AF195" i="1"/>
  <c r="AE196" i="1"/>
  <c r="AF196" i="1"/>
  <c r="AE197" i="1"/>
  <c r="AF197" i="1"/>
  <c r="AE198" i="1"/>
  <c r="AF198" i="1"/>
  <c r="AE199" i="1"/>
  <c r="AF199" i="1"/>
  <c r="AE200" i="1"/>
  <c r="AF200" i="1"/>
  <c r="AE201" i="1"/>
  <c r="AF201" i="1"/>
  <c r="AE202" i="1"/>
  <c r="AF202" i="1"/>
  <c r="AE203" i="1"/>
  <c r="AF203" i="1"/>
  <c r="AE204" i="1"/>
  <c r="AF204" i="1"/>
  <c r="AE205" i="1"/>
  <c r="AF205" i="1"/>
  <c r="AE206" i="1"/>
  <c r="AF206" i="1"/>
  <c r="AE207" i="1"/>
  <c r="AF207" i="1"/>
  <c r="AE208" i="1"/>
  <c r="AF208" i="1"/>
  <c r="AE209" i="1"/>
  <c r="AF209" i="1"/>
  <c r="AE210" i="1"/>
  <c r="AF210" i="1"/>
  <c r="AE159" i="1"/>
  <c r="AF159" i="1"/>
  <c r="AE160" i="1"/>
  <c r="AF160" i="1"/>
  <c r="AE161" i="1"/>
  <c r="AF161" i="1"/>
  <c r="AE162" i="1"/>
  <c r="AF162" i="1"/>
  <c r="AE163" i="1"/>
  <c r="AF163" i="1"/>
  <c r="AE164" i="1"/>
  <c r="AF164" i="1"/>
  <c r="AE165" i="1"/>
  <c r="AF165" i="1"/>
  <c r="AE166" i="1"/>
  <c r="AF166" i="1"/>
  <c r="AE158" i="1"/>
  <c r="AF158" i="1"/>
  <c r="AE156" i="1"/>
  <c r="AF156" i="1"/>
  <c r="AE157" i="1"/>
  <c r="AF157" i="1"/>
  <c r="AE154" i="1"/>
  <c r="AF154" i="1"/>
  <c r="AE155" i="1"/>
  <c r="AF155" i="1"/>
  <c r="AE140" i="1"/>
  <c r="AF140" i="1"/>
  <c r="AE141" i="1"/>
  <c r="AF141" i="1"/>
  <c r="AE142" i="1"/>
  <c r="AF142" i="1"/>
  <c r="AE143" i="1"/>
  <c r="AF143" i="1"/>
  <c r="AE144" i="1"/>
  <c r="AF144" i="1"/>
  <c r="AE145" i="1"/>
  <c r="AF145" i="1"/>
  <c r="AE146" i="1"/>
  <c r="AF146" i="1"/>
  <c r="AE147" i="1"/>
  <c r="AF147" i="1"/>
  <c r="AE148" i="1"/>
  <c r="AF148" i="1"/>
  <c r="AE149" i="1"/>
  <c r="AF149" i="1"/>
  <c r="AE150" i="1"/>
  <c r="AF150" i="1"/>
  <c r="AE151" i="1"/>
  <c r="AF151" i="1"/>
  <c r="AE152" i="1"/>
  <c r="AF152" i="1"/>
  <c r="AE153" i="1"/>
  <c r="AF153" i="1"/>
  <c r="AE137" i="1"/>
  <c r="AF137" i="1"/>
  <c r="AE138" i="1"/>
  <c r="AF138" i="1"/>
  <c r="AE139" i="1"/>
  <c r="AF139" i="1"/>
  <c r="AE123" i="1"/>
  <c r="AF123" i="1"/>
  <c r="AE124" i="1"/>
  <c r="AF124" i="1"/>
  <c r="AE125" i="1"/>
  <c r="AF125" i="1"/>
  <c r="AE126" i="1"/>
  <c r="AF126" i="1"/>
  <c r="AE127" i="1"/>
  <c r="AF127" i="1"/>
  <c r="AE128" i="1"/>
  <c r="AF128" i="1"/>
  <c r="AE129" i="1"/>
  <c r="AF129" i="1"/>
  <c r="AE130" i="1"/>
  <c r="AF130" i="1"/>
  <c r="AE131" i="1"/>
  <c r="AF131" i="1"/>
  <c r="AE132" i="1"/>
  <c r="AF132" i="1"/>
  <c r="AE133" i="1"/>
  <c r="AF133" i="1"/>
  <c r="AE134" i="1"/>
  <c r="AF134" i="1"/>
  <c r="AE135" i="1"/>
  <c r="AF135" i="1"/>
  <c r="AE136" i="1"/>
  <c r="AF136" i="1"/>
  <c r="AE95" i="1"/>
  <c r="AF95" i="1"/>
  <c r="AE96" i="1"/>
  <c r="AF96" i="1"/>
  <c r="AE97" i="1"/>
  <c r="AF97" i="1"/>
  <c r="AE98" i="1"/>
  <c r="AF98" i="1"/>
  <c r="AE99" i="1"/>
  <c r="AF99" i="1"/>
  <c r="AE100" i="1"/>
  <c r="AF100" i="1"/>
  <c r="AE101" i="1"/>
  <c r="AF101" i="1"/>
  <c r="AE102" i="1"/>
  <c r="AF102" i="1"/>
  <c r="AE103" i="1"/>
  <c r="AF103" i="1"/>
  <c r="AE104" i="1"/>
  <c r="AF104" i="1"/>
  <c r="AE105" i="1"/>
  <c r="AF105" i="1"/>
  <c r="AE106" i="1"/>
  <c r="AF106" i="1"/>
  <c r="AE107" i="1"/>
  <c r="AF107" i="1"/>
  <c r="AE108" i="1"/>
  <c r="AF108" i="1"/>
  <c r="AE109" i="1"/>
  <c r="AF109" i="1"/>
  <c r="AE110" i="1"/>
  <c r="AF110" i="1"/>
  <c r="AE111" i="1"/>
  <c r="AF111" i="1"/>
  <c r="AE112" i="1"/>
  <c r="AF112" i="1"/>
  <c r="AE113" i="1"/>
  <c r="AF113" i="1"/>
  <c r="AE114" i="1"/>
  <c r="AF114" i="1"/>
  <c r="AE115" i="1"/>
  <c r="AF115" i="1"/>
  <c r="AE116" i="1"/>
  <c r="AF116" i="1"/>
  <c r="AE117" i="1"/>
  <c r="AF117" i="1"/>
  <c r="AE118" i="1"/>
  <c r="AF118" i="1"/>
  <c r="AE119" i="1"/>
  <c r="AF119" i="1"/>
  <c r="AE120" i="1"/>
  <c r="AF120" i="1"/>
  <c r="AE121" i="1"/>
  <c r="AF121" i="1"/>
  <c r="AE122" i="1"/>
  <c r="AF122" i="1"/>
  <c r="AE84" i="1"/>
  <c r="AF84" i="1"/>
  <c r="AE85" i="1"/>
  <c r="AF85" i="1"/>
  <c r="AE86" i="1"/>
  <c r="AF86" i="1"/>
  <c r="AE87" i="1"/>
  <c r="AF87" i="1"/>
  <c r="AE88" i="1"/>
  <c r="AF88" i="1"/>
  <c r="AE89" i="1"/>
  <c r="AF89" i="1"/>
  <c r="AE90" i="1"/>
  <c r="AF90" i="1"/>
  <c r="AE91" i="1"/>
  <c r="AF91" i="1"/>
  <c r="AE92" i="1"/>
  <c r="AF92" i="1"/>
  <c r="AE93" i="1"/>
  <c r="AF93" i="1"/>
  <c r="AE94" i="1"/>
  <c r="AF94" i="1"/>
  <c r="AE71" i="1"/>
  <c r="AF71" i="1"/>
  <c r="AE72" i="1"/>
  <c r="AF72" i="1"/>
  <c r="AE73" i="1"/>
  <c r="AF73" i="1"/>
  <c r="AE74" i="1"/>
  <c r="AF74" i="1"/>
  <c r="AE75" i="1"/>
  <c r="AF75" i="1"/>
  <c r="AE76" i="1"/>
  <c r="AF76" i="1"/>
  <c r="AE77" i="1"/>
  <c r="AF77" i="1"/>
  <c r="AE78" i="1"/>
  <c r="AF78" i="1"/>
  <c r="AE79" i="1"/>
  <c r="AF79" i="1"/>
  <c r="AE80" i="1"/>
  <c r="AF80" i="1"/>
  <c r="AE81" i="1"/>
  <c r="AF81" i="1"/>
  <c r="AE82" i="1"/>
  <c r="AF82" i="1"/>
  <c r="AE83" i="1"/>
  <c r="AF83" i="1"/>
  <c r="AE65" i="1"/>
  <c r="AF65" i="1"/>
  <c r="AE66" i="1"/>
  <c r="AF66" i="1"/>
  <c r="AE67" i="1"/>
  <c r="AF67" i="1"/>
  <c r="AE68" i="1"/>
  <c r="AF68" i="1"/>
  <c r="AE69" i="1"/>
  <c r="AF69" i="1"/>
  <c r="AE70" i="1"/>
  <c r="AF70" i="1"/>
  <c r="AE48" i="1"/>
  <c r="AF48" i="1"/>
  <c r="AE49" i="1"/>
  <c r="AF49" i="1"/>
  <c r="AE50" i="1"/>
  <c r="AF50" i="1"/>
  <c r="AE51" i="1"/>
  <c r="AF51" i="1"/>
  <c r="AE52" i="1"/>
  <c r="AF52" i="1"/>
  <c r="AE53" i="1"/>
  <c r="AF53" i="1"/>
  <c r="AE54" i="1"/>
  <c r="AF54" i="1"/>
  <c r="AE55" i="1"/>
  <c r="AF55" i="1"/>
  <c r="AE56" i="1"/>
  <c r="AF56" i="1"/>
  <c r="AE57" i="1"/>
  <c r="AF57" i="1"/>
  <c r="AE58" i="1"/>
  <c r="AF58" i="1"/>
  <c r="AE59" i="1"/>
  <c r="AF59" i="1"/>
  <c r="AE60" i="1"/>
  <c r="AF60" i="1"/>
  <c r="AE61" i="1"/>
  <c r="AF61" i="1"/>
  <c r="AE62" i="1"/>
  <c r="AF62" i="1"/>
  <c r="AE63" i="1"/>
  <c r="AF63" i="1"/>
  <c r="AE64" i="1"/>
  <c r="AF64" i="1"/>
  <c r="AE43" i="1"/>
  <c r="AF43" i="1"/>
  <c r="AE44" i="1"/>
  <c r="AF44" i="1"/>
  <c r="AE45" i="1"/>
  <c r="AF45" i="1"/>
  <c r="AE46" i="1"/>
  <c r="AF46" i="1"/>
  <c r="AE47" i="1"/>
  <c r="AF47" i="1"/>
  <c r="AE39" i="1"/>
  <c r="AF39" i="1"/>
  <c r="AE40" i="1"/>
  <c r="AF40" i="1"/>
  <c r="AE41" i="1"/>
  <c r="AF41" i="1"/>
  <c r="AE42" i="1"/>
  <c r="AF42" i="1"/>
  <c r="AE32" i="1"/>
  <c r="AF32" i="1"/>
  <c r="AE33" i="1"/>
  <c r="AF33" i="1"/>
  <c r="AE34" i="1"/>
  <c r="AF34" i="1"/>
  <c r="AE35" i="1"/>
  <c r="AF35" i="1"/>
  <c r="AE36" i="1"/>
  <c r="AF36" i="1"/>
  <c r="AE37" i="1"/>
  <c r="AF37" i="1"/>
  <c r="AE38" i="1"/>
  <c r="AF38" i="1"/>
  <c r="AE29" i="1"/>
  <c r="AF29" i="1"/>
  <c r="AE30" i="1"/>
  <c r="AF30" i="1"/>
  <c r="AE31" i="1"/>
  <c r="AF31" i="1"/>
  <c r="AE21" i="1"/>
  <c r="AF21" i="1"/>
  <c r="AE22" i="1"/>
  <c r="AF22" i="1"/>
  <c r="AE23" i="1"/>
  <c r="AF23" i="1"/>
  <c r="AE24" i="1"/>
  <c r="AF24" i="1"/>
  <c r="AE25" i="1"/>
  <c r="AF25" i="1"/>
  <c r="AE26" i="1"/>
  <c r="AF26" i="1"/>
  <c r="AE27" i="1"/>
  <c r="AF27" i="1"/>
  <c r="AE28" i="1"/>
  <c r="AF28" i="1"/>
  <c r="AF20" i="1"/>
  <c r="AE20" i="1"/>
  <c r="Y18" i="1"/>
  <c r="Z18" i="1"/>
  <c r="AA18" i="1"/>
  <c r="AB18" i="1"/>
  <c r="AC18" i="1"/>
  <c r="AD18" i="1"/>
  <c r="G9" i="1"/>
  <c r="F7" i="1"/>
  <c r="K2" i="3"/>
  <c r="K3" i="3"/>
  <c r="K4" i="3"/>
  <c r="K5" i="3"/>
  <c r="K6" i="3"/>
  <c r="K7" i="3"/>
  <c r="K9" i="3"/>
  <c r="K10" i="3"/>
  <c r="K11" i="3"/>
  <c r="K12" i="3"/>
  <c r="K13" i="3"/>
  <c r="K14" i="3"/>
  <c r="D15" i="3"/>
  <c r="E15" i="3"/>
  <c r="F15" i="3"/>
  <c r="G15" i="3"/>
  <c r="H15" i="3"/>
  <c r="I15" i="3"/>
  <c r="J15" i="3"/>
  <c r="K15" i="3"/>
  <c r="U4" i="1"/>
  <c r="U5" i="1" s="1"/>
  <c r="F10" i="1"/>
  <c r="J5" i="1"/>
  <c r="E80" i="4" l="1"/>
  <c r="E82" i="4"/>
  <c r="O13" i="1"/>
  <c r="Q13" i="1" s="1"/>
  <c r="W4" i="1"/>
  <c r="X8" i="1"/>
  <c r="N6" i="1"/>
  <c r="F3" i="1"/>
  <c r="G3" i="1" s="1"/>
  <c r="F14" i="1"/>
  <c r="G14" i="1" s="1"/>
  <c r="F6" i="1"/>
  <c r="G11" i="1"/>
  <c r="F9" i="1"/>
  <c r="G7" i="1"/>
  <c r="U6" i="1" l="1"/>
  <c r="S12" i="1" s="1"/>
  <c r="G6" i="1"/>
  <c r="F13" i="1"/>
  <c r="G13" i="1" s="1"/>
  <c r="G15" i="1" s="1"/>
  <c r="I15" i="1" s="1"/>
  <c r="F11" i="1"/>
  <c r="V9" i="1" l="1"/>
  <c r="S11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<sst xmlns="http://schemas.openxmlformats.org/spreadsheetml/2006/main" count="2057" uniqueCount="527">
  <si>
    <t>NOME</t>
  </si>
  <si>
    <t>CCUSTO</t>
  </si>
  <si>
    <t>CODSITUACAO</t>
  </si>
  <si>
    <t>CODTIPO</t>
  </si>
  <si>
    <t>BASEFGTS</t>
  </si>
  <si>
    <t>BASEFGTSAVPREVIO</t>
  </si>
  <si>
    <t>BASEFGTS13AVPREVIO</t>
  </si>
  <si>
    <t>BASEFGTS13</t>
  </si>
  <si>
    <t>BASEFGTSDIFSAL</t>
  </si>
  <si>
    <t>FGTS_MES</t>
  </si>
  <si>
    <t>FGTS_AVISO</t>
  </si>
  <si>
    <t>FGTS13_AVISO</t>
  </si>
  <si>
    <t>FGTS13</t>
  </si>
  <si>
    <t>FGTSDIF</t>
  </si>
  <si>
    <t>BASEINSS</t>
  </si>
  <si>
    <t>BASEINSS13</t>
  </si>
  <si>
    <t>BASE_INSS_AUTONOMO</t>
  </si>
  <si>
    <t>INSS</t>
  </si>
  <si>
    <t>INSS13</t>
  </si>
  <si>
    <t>INSSFERIAS</t>
  </si>
  <si>
    <t>INSSDIFSAL</t>
  </si>
  <si>
    <t>BASEIRRF</t>
  </si>
  <si>
    <t>BASEIRRFFERIAS</t>
  </si>
  <si>
    <t>IRRF</t>
  </si>
  <si>
    <t>IRRF13</t>
  </si>
  <si>
    <t>IRRFFERIAS</t>
  </si>
  <si>
    <t>FGTS</t>
  </si>
  <si>
    <t>BASE FGTS GERAL</t>
  </si>
  <si>
    <t>BASE FGTS SINTETICO</t>
  </si>
  <si>
    <t>BASE INSS</t>
  </si>
  <si>
    <t>BASE GERAL FOLHA</t>
  </si>
  <si>
    <t>VALOR SALARIO FAMILIA</t>
  </si>
  <si>
    <t>20% PATRONAL</t>
  </si>
  <si>
    <t>5,8% TERCEIROS</t>
  </si>
  <si>
    <t>VALOR GUIA LANÇAMENTO INSS</t>
  </si>
  <si>
    <t>IRRF FOLHA</t>
  </si>
  <si>
    <t>BASE FGTS 13 SINTETICO</t>
  </si>
  <si>
    <t>PROLABORE</t>
  </si>
  <si>
    <t>BASE</t>
  </si>
  <si>
    <t>VALOR</t>
  </si>
  <si>
    <t>BASE TOTAL FOLHA</t>
  </si>
  <si>
    <t>CLT 8%</t>
  </si>
  <si>
    <t>VALOR GUIA eCAC</t>
  </si>
  <si>
    <t>APRENDIZES 2%</t>
  </si>
  <si>
    <t>GRRF RECOLHIDAS 8%</t>
  </si>
  <si>
    <t>GRRF RECOLHIDAS 2%</t>
  </si>
  <si>
    <t>DIF TERCEIROS</t>
  </si>
  <si>
    <t>DIF PATRONAL</t>
  </si>
  <si>
    <t>SEGURADOS</t>
  </si>
  <si>
    <t>DIF RAT</t>
  </si>
  <si>
    <t>FGTS DIGITAL 8%</t>
  </si>
  <si>
    <t>FGTS DIGITAL 2%</t>
  </si>
  <si>
    <t>CONCRETA</t>
  </si>
  <si>
    <t>JPL</t>
  </si>
  <si>
    <t>JC GOMES</t>
  </si>
  <si>
    <t>EMPRESAS</t>
  </si>
  <si>
    <t>FAP</t>
  </si>
  <si>
    <t>RAT AJUSTADO 3x FAP</t>
  </si>
  <si>
    <t xml:space="preserve"> FGTS DIGITAL </t>
  </si>
  <si>
    <t>INSS RAT AJUSTADO</t>
  </si>
  <si>
    <t>INSS EMPRESA</t>
  </si>
  <si>
    <t>INSS TERCEIROS</t>
  </si>
  <si>
    <t>TOTAL GUIA</t>
  </si>
  <si>
    <t>ABNER DAVID MIRANDA CARDOSO</t>
  </si>
  <si>
    <t>CDHU - Ilha Solteira "D" 100 U.H.</t>
  </si>
  <si>
    <t>A</t>
  </si>
  <si>
    <t>N</t>
  </si>
  <si>
    <t>ADEMAR DE JESUS</t>
  </si>
  <si>
    <t>Coleta de Lixo Varzea Grande MT</t>
  </si>
  <si>
    <t>ADILSON GABRIEL DIAS FERREIRA MIRANDA</t>
  </si>
  <si>
    <t>ADRIANO FERREIRA</t>
  </si>
  <si>
    <t>CDHU - Piratininga "E1" 56 U.H.</t>
  </si>
  <si>
    <t>AGNALDO GUIMARAES</t>
  </si>
  <si>
    <t>AGNALDO NORBERTO DA SILVA</t>
  </si>
  <si>
    <t>AGRICOLA DIAS DA SILVA JUNIOR</t>
  </si>
  <si>
    <t>ALESSANDRO PASSOS BARROS</t>
  </si>
  <si>
    <t>ALEX MATHEUS TAVARES CORREA</t>
  </si>
  <si>
    <t>ALEXANDRE FERNANDO RAMOS VIANA</t>
  </si>
  <si>
    <t>Embasa Lote 02 - Municipio de Guanambi BA</t>
  </si>
  <si>
    <t>ALLAN PETERSON RODRIGUES DE FREITAS</t>
  </si>
  <si>
    <t>ALTEVI JUARI PEREIRA</t>
  </si>
  <si>
    <t>ALVARO RUPPENTHAL</t>
  </si>
  <si>
    <t>D</t>
  </si>
  <si>
    <t>ALYSON CAVALCANTE DO CARMO</t>
  </si>
  <si>
    <t>CDHU - Balbinos "D" 19 U.H.</t>
  </si>
  <si>
    <t>ANA LAURA SILVA SOARES</t>
  </si>
  <si>
    <t>ANDERSON DA CONCEIÇÃO SANTOS</t>
  </si>
  <si>
    <t>CDHU - Duartina "E1" "E2" 128 U.H.</t>
  </si>
  <si>
    <t>ANDERSON JOSE CONOTO LANDER</t>
  </si>
  <si>
    <t>ANDERSON NEVES FERREIRA</t>
  </si>
  <si>
    <t>ANDRE HENRIQUE SANTOS DE PAULA</t>
  </si>
  <si>
    <t>ANTONIO MARCOS DE PAULA LINO</t>
  </si>
  <si>
    <t>Oficina</t>
  </si>
  <si>
    <t>ANTONIO MARTINS DA SILVA</t>
  </si>
  <si>
    <t>ANTONIO MENDES DA LUZ</t>
  </si>
  <si>
    <t>ANTONIO ROBERTO DE SOUZA</t>
  </si>
  <si>
    <t>CDHU - Bocaina "H1" "H2" 96 U.H.</t>
  </si>
  <si>
    <t>APARECIDO LUIZ BENITTE CANHADA</t>
  </si>
  <si>
    <t>CDHU - Mirandopolis "D" 259 U.H.</t>
  </si>
  <si>
    <t>P</t>
  </si>
  <si>
    <t>ARIANO JOSE CONCEICAO DE SOUZA</t>
  </si>
  <si>
    <t>ARLINE MORAES DA SILVA</t>
  </si>
  <si>
    <t>ARNALDO FERREIRA DE MELO</t>
  </si>
  <si>
    <t>BENEDITO PALOCO</t>
  </si>
  <si>
    <t>BENTO PEREIRA AMADO</t>
  </si>
  <si>
    <t>BIBIANO ANASTACIO DE PAULA</t>
  </si>
  <si>
    <t>BRENO ROSA DE ALMEIDA</t>
  </si>
  <si>
    <t>CAIO FERNANDES CALIXTO</t>
  </si>
  <si>
    <t>Financeiro</t>
  </si>
  <si>
    <t>Z</t>
  </si>
  <si>
    <t>CALIXTO CONCEICAO DE ARRUDA</t>
  </si>
  <si>
    <t>CARLITO PAULA DOS SANTOS</t>
  </si>
  <si>
    <t>CARLOS ANDRE OLIVEIRA DA SILVA</t>
  </si>
  <si>
    <t>CDHU - Birigui "D" 143 U.H.</t>
  </si>
  <si>
    <t>CARLOS EDUARDO OLIVEIRA DE LIMA</t>
  </si>
  <si>
    <t>CARLOS EDUARDO SILVEIRA COSTA</t>
  </si>
  <si>
    <t>CARLOS LUIZ DOS SANTOS</t>
  </si>
  <si>
    <t>CARLOS VINICIUS DE LIMA CAMPOS</t>
  </si>
  <si>
    <t>CARLOS WILLIAM PAULA DE SOUZA</t>
  </si>
  <si>
    <t>CAUA RODRIGUES NORBERTO DA SILVA</t>
  </si>
  <si>
    <t>CLAUDEMIR CLOVIS DA SILVA</t>
  </si>
  <si>
    <t>CLAUDINEI CARVALHO DE OLIVEIRA</t>
  </si>
  <si>
    <t>CLAUDINEI DAS NEVES</t>
  </si>
  <si>
    <t>CLAUDINEI FERREIRA DA SILVA</t>
  </si>
  <si>
    <t>BR-488 e 459 - Lorena/Piquete/Aparecida</t>
  </si>
  <si>
    <t>CLAUDIO MODESTO</t>
  </si>
  <si>
    <t>CLAUDIONOR RODRIGUES VILHENA JUNIOR</t>
  </si>
  <si>
    <t>CLEBER SCHNEIDERS MARTINS</t>
  </si>
  <si>
    <t>CLEIVISON APARECIDO DA SILVA</t>
  </si>
  <si>
    <t>CLEOMAR MOREIRA DOS SANTOS</t>
  </si>
  <si>
    <t>CLOVIS SERGIO RONDON</t>
  </si>
  <si>
    <t>DANIEL DA SILVA FERREIRA</t>
  </si>
  <si>
    <t>DANIEL DOS SANTOS SOUZA</t>
  </si>
  <si>
    <t>DANIEL FELIPE DA SILVA AMANCIO</t>
  </si>
  <si>
    <t>CDHU - Sabino "E1" "E2" 190 U.H.</t>
  </si>
  <si>
    <t>DANIEL RAIMUNDO</t>
  </si>
  <si>
    <t>DANIEL SOARES DA SILVA</t>
  </si>
  <si>
    <t>DANIELI HAISSA CHIRE DE QUISPE SILVA</t>
  </si>
  <si>
    <t>DAVI GERALDO COELHO</t>
  </si>
  <si>
    <t>DAVI NASCIMENTO DE OLIVEIRA</t>
  </si>
  <si>
    <t>DAVID MANDELLI DE CASTRO</t>
  </si>
  <si>
    <t>DAVID RONDON BRANDAO</t>
  </si>
  <si>
    <t>DEJAIR BORGES DE ALMEIDA</t>
  </si>
  <si>
    <t>DENIS JOSE FERNANDES DA SILVA</t>
  </si>
  <si>
    <t>DERIK HENRIQUE DOS SANTOS ANUNCIACAO</t>
  </si>
  <si>
    <t>DIEGO RODRIGO DA CUNHA PARDINHO</t>
  </si>
  <si>
    <t>DIOMAR MAGALHAES DE SOUZA</t>
  </si>
  <si>
    <t>DIONES DA CONCEICAO ALVARENGA</t>
  </si>
  <si>
    <t>DIRCEU JOSE MERLINO NUNES</t>
  </si>
  <si>
    <t>DIVINO SANTOS REIS</t>
  </si>
  <si>
    <t>DOUGLAS ORTIS DE OLIVEIRA</t>
  </si>
  <si>
    <t>EDINEI SILVA BATISTA</t>
  </si>
  <si>
    <t>Embasa Lote 02 - Municipio de Paramirim BA</t>
  </si>
  <si>
    <t>EDMILSON JOAQUIM DA SILVA</t>
  </si>
  <si>
    <t>EDMILTON PEREIRA DE ARRUDA</t>
  </si>
  <si>
    <t>EDSON ANSELMO GUANDALIN</t>
  </si>
  <si>
    <t>EDUARDO AMARO LINS DOS SANTOS</t>
  </si>
  <si>
    <t>EDUARDO HENRIQUE LOPES LOURENCO</t>
  </si>
  <si>
    <t>ELIANA APARECIDA DOMINGUES EMILIO</t>
  </si>
  <si>
    <t>ELITON RICARDO RIBEIRO</t>
  </si>
  <si>
    <t>ELIVELTON DE OLIVEIRA PASSOS</t>
  </si>
  <si>
    <t>ELY CAMPOS DE ABREU</t>
  </si>
  <si>
    <t>ERICK ANTONNY DE JESUS SANTOS</t>
  </si>
  <si>
    <t>Erinaldo Ferreira Guterres</t>
  </si>
  <si>
    <t>FABIANO DA CONCEICAO</t>
  </si>
  <si>
    <t>Fabiano Dacie</t>
  </si>
  <si>
    <t>FABRICIO DE JESUS</t>
  </si>
  <si>
    <t>FERNANDA MONISE DIAS QUEIROZ</t>
  </si>
  <si>
    <t>FERNANDO DE JESUS RIBEIRO PINTO</t>
  </si>
  <si>
    <t>FERNANDO URBANO</t>
  </si>
  <si>
    <t>GABRIEL RIBEIRO DA SILVA</t>
  </si>
  <si>
    <t>GELSON TORRACA DUTRA</t>
  </si>
  <si>
    <t>GEOVANE DA SILVA MOREIRA</t>
  </si>
  <si>
    <t>GEOVANE DO CARMO MARQUES</t>
  </si>
  <si>
    <t>Gilberto Barbosa</t>
  </si>
  <si>
    <t>GILBERTO RAFAEL LEPAGE PEREZ</t>
  </si>
  <si>
    <t>GILMAR DE SOUZA OLIVEIRA</t>
  </si>
  <si>
    <t>GILNACIO SILVA FLOR</t>
  </si>
  <si>
    <t>GISLAINE CRISTINA OLIVEIRA DA SILVA</t>
  </si>
  <si>
    <t>GOLDOFREDO DA SILVA</t>
  </si>
  <si>
    <t>GUILHERME DOS SANTOS CAVALCANTE</t>
  </si>
  <si>
    <t>GUILHERME GABRIEL PARRA</t>
  </si>
  <si>
    <t>GUILHERME PEDRO RODRIGUES</t>
  </si>
  <si>
    <t>GUSTAVO AUGUSTO LUZ</t>
  </si>
  <si>
    <t>GUSTAVO HENRIQUE DE SOUZA LEAL</t>
  </si>
  <si>
    <t>IATAN PEREIRA CRUZ</t>
  </si>
  <si>
    <t>BR-060/GO - Goiania GO</t>
  </si>
  <si>
    <t>ISMAEL CESAR DE SOUZA ESPIRITO SANTO</t>
  </si>
  <si>
    <t>ISRAEL BORGES DA SILVA</t>
  </si>
  <si>
    <t>ISRAEL NOGUEIRA RODRIGUES</t>
  </si>
  <si>
    <t>ITAMAR FERREIRA PINTO</t>
  </si>
  <si>
    <t>IURI NEVES CAVALCANTE</t>
  </si>
  <si>
    <t>IVANILDO RODRIGUES DE SOUZA</t>
  </si>
  <si>
    <t>JACKSON ALMANDO DEMOSTHENES</t>
  </si>
  <si>
    <t>JAIR TEIXEIRA</t>
  </si>
  <si>
    <t>JAMES CARVALHO ALMEIDA</t>
  </si>
  <si>
    <t>JEFF ALCIUS</t>
  </si>
  <si>
    <t>JEREMIAS VIEIRA DE LIMA</t>
  </si>
  <si>
    <t>Jesus Sebastiao dos Santos</t>
  </si>
  <si>
    <t>JOADIR MENDES DA SILVA</t>
  </si>
  <si>
    <t>Joao Antonio Lucarelo Gomes</t>
  </si>
  <si>
    <t>JOAO CARLOS DE OLIVEIRA</t>
  </si>
  <si>
    <t>JOAO DE SOUZA RIBEIRO</t>
  </si>
  <si>
    <t>JOAO FERREIRA DE SANTANA</t>
  </si>
  <si>
    <t>DER - Ipaussu</t>
  </si>
  <si>
    <t>JOAO PEDRO CIOCCA DE LIMA</t>
  </si>
  <si>
    <t>JOAO PEDRO PASSEBERG FRATTE</t>
  </si>
  <si>
    <t>JOAO PEREIRA GOMES</t>
  </si>
  <si>
    <t>JOAO VITOR BALBINO DE CASTRO</t>
  </si>
  <si>
    <t>JOAO VITOR DE CASTRO</t>
  </si>
  <si>
    <t>JOAO VITOR DE OLIVEIRA DOS SANTOS</t>
  </si>
  <si>
    <t>JOATTAN MACHADO DA SILVA</t>
  </si>
  <si>
    <t>JOCELINO FERNANDO DA SILVA</t>
  </si>
  <si>
    <t>JOELSO ANTONIO DE CAMPOS</t>
  </si>
  <si>
    <t>JOELSON DE ARRUDA SILVA</t>
  </si>
  <si>
    <t>JOILDO DA SILVA VIANA</t>
  </si>
  <si>
    <t>JONATAS FERREIRA BORGES</t>
  </si>
  <si>
    <t>JORGE JUNIOR DA SILVA</t>
  </si>
  <si>
    <t>JORGE LUIS IBARRA GOMEZ</t>
  </si>
  <si>
    <t>JOSE CLAUDIO SANTOS DA SILVA</t>
  </si>
  <si>
    <t>JOSE DOS SANTOS</t>
  </si>
  <si>
    <t>JOSE GREGORIO HERNANDEZ</t>
  </si>
  <si>
    <t>JOSE SEBASTIAO DOS SANTOS</t>
  </si>
  <si>
    <t>JOSE SERGIO DA SILVA</t>
  </si>
  <si>
    <t>JOSE VALENTIM LEITE</t>
  </si>
  <si>
    <t>JOSENILSON ARMANDO DA SILVA</t>
  </si>
  <si>
    <t>JOSIMAR RODRIGUES NOBRES</t>
  </si>
  <si>
    <t>JOSUE CAVALCANTE DOS SANTOS</t>
  </si>
  <si>
    <t>JUSCELINO LUCINDO OLIVEIRA</t>
  </si>
  <si>
    <t>KAIO ALESSANDRO DA SILVA</t>
  </si>
  <si>
    <t>LAELSON FONSECA CHAGAS</t>
  </si>
  <si>
    <t>LARISSA BATISTA DOS SANTOS</t>
  </si>
  <si>
    <t>LEANDRO ALVES VIANA</t>
  </si>
  <si>
    <t>LEANDRO APARECIDO DE SOUZA</t>
  </si>
  <si>
    <t>LEANDRO CESAR GOMES DA SILVA</t>
  </si>
  <si>
    <t>LEANDRO ORIVALDO DE ARRUDA</t>
  </si>
  <si>
    <t>LEANDRO VIEIRA DA SILVA</t>
  </si>
  <si>
    <t>LEONARDO VINICIUS DE SOUZA</t>
  </si>
  <si>
    <t>LINDOVAL FERREIRA DE OLIVEIRA</t>
  </si>
  <si>
    <t>LUCAS DA SILVA KIL</t>
  </si>
  <si>
    <t>LUCAS DE MOURA QUEIROZ</t>
  </si>
  <si>
    <t>LUCAS DE OLIVEIRA CALUX</t>
  </si>
  <si>
    <t>LUCIANO APARECIDO SANTOS</t>
  </si>
  <si>
    <t>LUCIANO DO CARMO ARAUJO</t>
  </si>
  <si>
    <t>LUCIVALDO PEREIRA DE OLIVEIRA</t>
  </si>
  <si>
    <t>LUIS DA SILVA RONDON</t>
  </si>
  <si>
    <t>LUIS FERNANDO COELHO MACEDO DE SOUZA</t>
  </si>
  <si>
    <t>LUIS FERNANDO DOS SANTOS</t>
  </si>
  <si>
    <t>LUIS FERNANDO MAGALHAES DA SILVA</t>
  </si>
  <si>
    <t>LUIS MAURO PIROLLA</t>
  </si>
  <si>
    <t>LUIZ CARLOS DE OLIVEIRA JESUS</t>
  </si>
  <si>
    <t>LUIZ CARLOS RODRIGUES MIRANDA</t>
  </si>
  <si>
    <t>LUIZ DE SOUZA AMARAL SOBRINHO</t>
  </si>
  <si>
    <t>LUIZ HENRIQUE OLIVEIRA DO CARMO</t>
  </si>
  <si>
    <t>MANOEL FRANCISCO DA SILVA FILHO</t>
  </si>
  <si>
    <t>MARCELO LACERDA DA SILVA</t>
  </si>
  <si>
    <t>MARCELO VITOR DOS SANTOS</t>
  </si>
  <si>
    <t>MARCILIO OLIVEIRA DE ALMEIDA</t>
  </si>
  <si>
    <t>MARCIO MEDEIROS DA SILVA</t>
  </si>
  <si>
    <t>MARCO AURELIO RODRIGUES MORENO</t>
  </si>
  <si>
    <t>MARCOS ANTONIO DOS SANTOS</t>
  </si>
  <si>
    <t>MARIA APARECIDA DE SOUZA DA SILVA</t>
  </si>
  <si>
    <t>MARIVAN DOS SANTOS SILVA</t>
  </si>
  <si>
    <t>MATEUS PRATES DE ARAUJO</t>
  </si>
  <si>
    <t>MATHEUS FERREIRA PORTO</t>
  </si>
  <si>
    <t>MAURO APARECIDO DA SILVA LOPES</t>
  </si>
  <si>
    <t>MIKAEL EUNORIO DA SILVA COSTA</t>
  </si>
  <si>
    <t>MOYSES DA GUIA FERRAZ</t>
  </si>
  <si>
    <t>NATALIA DE ASSIS DE CAMARGO</t>
  </si>
  <si>
    <t>NATANAEL SABINO BATISTA</t>
  </si>
  <si>
    <t>NEYVALDO EVANGELISTA DE MEDEIROS</t>
  </si>
  <si>
    <t>NICOLAS KAUE GUTIERREZ DA SILVA</t>
  </si>
  <si>
    <t>OELDSON GONÇALO DE LIMA DOS SANTOS</t>
  </si>
  <si>
    <t>OLAVO FAUSTINO</t>
  </si>
  <si>
    <t>OLIVER RAFAEL LEPAGE LUQUE</t>
  </si>
  <si>
    <t>OSEIAS ROSA DOS REIS</t>
  </si>
  <si>
    <t>OTANIEL DOS SANTOS FELIX</t>
  </si>
  <si>
    <t>OTAVIO RYAN LOPES PEREIRA</t>
  </si>
  <si>
    <t>PAULO BENVINDO DA SILVA</t>
  </si>
  <si>
    <t>PAULO CESAR ALBINO DE SOUZA</t>
  </si>
  <si>
    <t>PAULO CESAR CHAGAS</t>
  </si>
  <si>
    <t>PAULO HENRIQUE SILVA DOS SANTOS</t>
  </si>
  <si>
    <t>PAULO HENRIQUE ZANUTO DO NASCIMENTO</t>
  </si>
  <si>
    <t>PEDRO DA COSTA CAMPOS SANTOS</t>
  </si>
  <si>
    <t>PEDRO HENRIQUE NEVES DA SILVA LIMA</t>
  </si>
  <si>
    <t>PEDRO LOPES</t>
  </si>
  <si>
    <t>RAFAEL ELIAS BARBOSA</t>
  </si>
  <si>
    <t>RAFAEL PIMENTEL DA MATA</t>
  </si>
  <si>
    <t>RAMIRES MAX CAMPOS DE MORAES</t>
  </si>
  <si>
    <t>REBECA DA SILVA MARTINES</t>
  </si>
  <si>
    <t>REGINALDO CARVALHO SANTOS</t>
  </si>
  <si>
    <t>RENAN EMILYANO DE SOUZA NAZARETH</t>
  </si>
  <si>
    <t>RENAN GUILHERME BUENO DE SOUZA</t>
  </si>
  <si>
    <t>RENATO JOSE DOS SANTOS</t>
  </si>
  <si>
    <t>RENATO QUINTILIANO MARTINS</t>
  </si>
  <si>
    <t>RENATO RUSSO SILVA DE MORAES</t>
  </si>
  <si>
    <t>RITA DE CASSIA CRANCHI ORTEGA PAMPLONA</t>
  </si>
  <si>
    <t>ROBERTO CARLOS DE PAULA MOTA</t>
  </si>
  <si>
    <t>RODRIGO DA SILVA BRANDAO</t>
  </si>
  <si>
    <t>RODRIGO YEPES REIS</t>
  </si>
  <si>
    <t>ROGERIO LEMES DA SILVA</t>
  </si>
  <si>
    <t>ROMUALDO ADRIANO MARTINEZ PERES</t>
  </si>
  <si>
    <t>RONALDO BARBOSA DE SOUZA</t>
  </si>
  <si>
    <t>RONALDO LOPES RIBEIRO</t>
  </si>
  <si>
    <t>RONDINELE ALVES BEZERRA</t>
  </si>
  <si>
    <t>RONILSO DESIDERIO PERES</t>
  </si>
  <si>
    <t>ROSANA MARIA DA SILVA</t>
  </si>
  <si>
    <t>ROSEMAR SILVA DE OLIVEIRA</t>
  </si>
  <si>
    <t>SAMUEL MACHADO COSTA</t>
  </si>
  <si>
    <t>SANDRA LOPES</t>
  </si>
  <si>
    <t>SERGIO BENEDITO DOS SANTOS</t>
  </si>
  <si>
    <t>SERGIO FERMINO DE OLIVEIRA</t>
  </si>
  <si>
    <t>SEVERINO JOSE DA SILVA</t>
  </si>
  <si>
    <t>SEVERINO JOSE DOS SANTOS</t>
  </si>
  <si>
    <t>SIDINEI OVIEDO VIEIRA</t>
  </si>
  <si>
    <t>TAILSON ARRUDA DA SILVA</t>
  </si>
  <si>
    <t>TAINAN ORLANDO MORAIS</t>
  </si>
  <si>
    <t>TAMER DE SOUZA JUSTI</t>
  </si>
  <si>
    <t>TANIEL JESUS DA SILVA</t>
  </si>
  <si>
    <t>THIAGO DA SILVA ARAUJO</t>
  </si>
  <si>
    <t>VALDECI DO NASCIMENTO SILVA</t>
  </si>
  <si>
    <t>VALDIBERTO DE JESUS FLOR</t>
  </si>
  <si>
    <t>VALMIR DIAS DE SOUZA</t>
  </si>
  <si>
    <t>VALTER REZENDE DA SILVA</t>
  </si>
  <si>
    <t>VANDEVALDO PEREIRA</t>
  </si>
  <si>
    <t>VANIA MARIA MENDES DE MACEDO</t>
  </si>
  <si>
    <t>VICTOR HUGO CAMPOS MONGE</t>
  </si>
  <si>
    <t>VICTOR HUGO SOUZA SALES</t>
  </si>
  <si>
    <t>VICTOR HUGOR DA SILVA VENANCIO</t>
  </si>
  <si>
    <t>VITOR CARLOS TAVARES</t>
  </si>
  <si>
    <t>WALLAF BRUNO LIMA DA SILVA</t>
  </si>
  <si>
    <t>WALTER LUIS MAGALHAES OLIVEIRA</t>
  </si>
  <si>
    <t>WEDRIQUI DA SILVA</t>
  </si>
  <si>
    <t>WELESON SILVA LOPES</t>
  </si>
  <si>
    <t>WESLEY HENRIQUE SOARES DOS SANTOS</t>
  </si>
  <si>
    <t>WICTOR DANIEL DA CRUZ MATA</t>
  </si>
  <si>
    <t>WILLIAM CAMPOS DE MORAES</t>
  </si>
  <si>
    <t>WILLIAM GUSTAVO DE ARRUDA ANUNCIACAO</t>
  </si>
  <si>
    <t>WILLIAN SILVA DE OLIVEIRA</t>
  </si>
  <si>
    <t>WILSON MARCELINO DO NASCIMENTO</t>
  </si>
  <si>
    <t>ZACARIAS CUSTODIO DA SILVA</t>
  </si>
  <si>
    <t>00001859</t>
  </si>
  <si>
    <t>00001930</t>
  </si>
  <si>
    <t>00001971</t>
  </si>
  <si>
    <t>00001650</t>
  </si>
  <si>
    <t>00001701</t>
  </si>
  <si>
    <t>00001794</t>
  </si>
  <si>
    <t>00001695</t>
  </si>
  <si>
    <t>00001968</t>
  </si>
  <si>
    <t>00001758</t>
  </si>
  <si>
    <t>00001586</t>
  </si>
  <si>
    <t>00001644</t>
  </si>
  <si>
    <t>00001459</t>
  </si>
  <si>
    <t>00001831</t>
  </si>
  <si>
    <t>JÁ RECOLHIDO</t>
  </si>
  <si>
    <t>TOTAL</t>
  </si>
  <si>
    <t>FGTS 13 Sal rescisao</t>
  </si>
  <si>
    <t>FGTS 13 SALARIO INDENIZADO</t>
  </si>
  <si>
    <t>FGTS ARTIGO 22</t>
  </si>
  <si>
    <t>FGTS AVISO PREVIO</t>
  </si>
  <si>
    <t>FGTS MES ANTERIOR</t>
  </si>
  <si>
    <t>FGTS QUITACAO</t>
  </si>
  <si>
    <t>CHAPA</t>
  </si>
  <si>
    <t>Nome Trabalhador</t>
  </si>
  <si>
    <t>Base Remuneracao Total</t>
  </si>
  <si>
    <t>Valor FGTS na Guia</t>
  </si>
  <si>
    <t>AGNALDO NORBETO DA SILVA</t>
  </si>
  <si>
    <t>ANDERSON DA CONCEICAO SANTOS</t>
  </si>
  <si>
    <t>FABIANO DACIE</t>
  </si>
  <si>
    <t>GILBERTO BARBOSA</t>
  </si>
  <si>
    <t>JESUS SEBASTIAO DOS SANTOS</t>
  </si>
  <si>
    <t>OELDSON GONCALO DE LIMA DOS SANTOS</t>
  </si>
  <si>
    <t>OTAVIO AUGUSTO SOUZA RODRIGUES</t>
  </si>
  <si>
    <t>COMPARA BASE FGTS</t>
  </si>
  <si>
    <t>COMPARA VALOR FGTS</t>
  </si>
  <si>
    <t>Q</t>
  </si>
  <si>
    <t>Total Geral</t>
  </si>
  <si>
    <t>1 Total</t>
  </si>
  <si>
    <t xml:space="preserve">Soma de Valor </t>
  </si>
  <si>
    <t>Rótulos de Linha</t>
  </si>
  <si>
    <t>CODCOLIGADA</t>
  </si>
  <si>
    <t>Resumo da Folha de Pagamento</t>
  </si>
  <si>
    <t>Bases de Cálculo</t>
  </si>
  <si>
    <t>Valor</t>
  </si>
  <si>
    <t>11 - Base de cálculo da contribuição previdenciária</t>
  </si>
  <si>
    <t>Contribuições do Segurado</t>
  </si>
  <si>
    <t>Valor Descontado</t>
  </si>
  <si>
    <t>Valor Calculado</t>
  </si>
  <si>
    <t>Valor total da contribuição</t>
  </si>
  <si>
    <t>Estabelecimento 04.327.690/0001-49</t>
  </si>
  <si>
    <t>Estabelecimento 00.900.255/9107-74</t>
  </si>
  <si>
    <t>Estabelecimento 00.900.255/9018-79</t>
  </si>
  <si>
    <t>Estabelecimento 00.900.255/9076-75</t>
  </si>
  <si>
    <t>Estabelecimento 00.900.296/3171-79</t>
  </si>
  <si>
    <t>Estabelecimento 00.900.255/9056-72</t>
  </si>
  <si>
    <t>Informações consolidadas das contribuições sociais</t>
  </si>
  <si>
    <t>Codigo Receita</t>
  </si>
  <si>
    <t>Valor Suspenso</t>
  </si>
  <si>
    <t>1082-01 - CP SEGURADOS - EMPREGADOS/AVULSOS</t>
  </si>
  <si>
    <t>-</t>
  </si>
  <si>
    <t>1099-01 - CP SEGURADOS - CONTRIBUINTES INDIVIDUAIS - 11%</t>
  </si>
  <si>
    <t>1138-01 - CP PATRONAL - EMPREGADOS/AVULSOS</t>
  </si>
  <si>
    <t>1138-04 - CP PATRONAL - CONTRIBUINTES INDIVIDUAIS</t>
  </si>
  <si>
    <t>1170-01 - CP TERCEIROS - SALÁRIO EDUCAÇÃO</t>
  </si>
  <si>
    <t>1176-01 - CP TERCEIROS - INCRA</t>
  </si>
  <si>
    <t>1181-01 - CP TERCEIROS - SENAI</t>
  </si>
  <si>
    <t>1184-01 - CP TERCEIROS - SESI</t>
  </si>
  <si>
    <t>1200-01 - CP TERCEIROS - SEBRAE</t>
  </si>
  <si>
    <t>1646-01 - CP PATRONAL - GILRAT AJUSTADO</t>
  </si>
  <si>
    <t>DÉBITOS APURADOS</t>
  </si>
  <si>
    <t>SALDO A PAGAR</t>
  </si>
  <si>
    <t>Tributos/Códigos de Receita</t>
  </si>
  <si>
    <t>PA Débito</t>
  </si>
  <si>
    <t>Débito Apurado</t>
  </si>
  <si>
    <t>Total Apurado Empresa 04.327.690/0001-49</t>
  </si>
  <si>
    <t>Total CONTRIBUIÇÃO PREVIDENCIÁRIA SEGURADOS</t>
  </si>
  <si>
    <t>1082-01 CP SEGURADOS - EMPREGADOS/AVULSO</t>
  </si>
  <si>
    <t>1099-01 CP SEGURADOS - CONTRIBUINTES INDIVIDUAIS - 11%</t>
  </si>
  <si>
    <t>Total CONTRIBUIÇÃO PREVIDENCIÁRIA PATRONAL</t>
  </si>
  <si>
    <t>1138-01 CP PATRONAL - EMPREGADOS/AVULSOS</t>
  </si>
  <si>
    <t>1138-04 CP PATRONAL - CONTRIBUINTES INDIVIDUAIS</t>
  </si>
  <si>
    <t>1646-01 CP PATRONAL - GILRAT AJUSTADO</t>
  </si>
  <si>
    <t>Total CONTRIBUIÇÃO PARA OUTRAS ENTIDADES E FUNDOS</t>
  </si>
  <si>
    <t>1170-01 CP TERCEIROS - SALÁRIO EDUCAÇÃO</t>
  </si>
  <si>
    <t>1176-01 CP TERCEIROS - INCRA</t>
  </si>
  <si>
    <t>1181-01 CP TERCEIROS - SENAI</t>
  </si>
  <si>
    <t>1184-01 CP TERCEIROS - SESI</t>
  </si>
  <si>
    <t>1200-01 CP TERCEIROS - SEBRAE</t>
  </si>
  <si>
    <t>Total IRRF</t>
  </si>
  <si>
    <t>0561-07 IRRF - RD TRB ASSAL PAÍS/AUS NO EXT A SERV PAÍS</t>
  </si>
  <si>
    <t>Total Apurado - CNO 90.025.59018/79</t>
  </si>
  <si>
    <t>Total Apurado - CNO 90.025.59056/72</t>
  </si>
  <si>
    <t>Total Apurado - CNO 90.025.59076/75</t>
  </si>
  <si>
    <t>Total Apurado - CNO 90.025.59107/74</t>
  </si>
  <si>
    <t>Total Apurado - CNO 90.029.63171/79</t>
  </si>
  <si>
    <t>INSS FERIAS</t>
  </si>
  <si>
    <t>INSS 13</t>
  </si>
  <si>
    <t>AUTONOMOS</t>
  </si>
  <si>
    <t>Nome</t>
  </si>
  <si>
    <t>Governo - Base INSS</t>
  </si>
  <si>
    <t>Governo - Valor INSS</t>
  </si>
  <si>
    <t>Governo - Base INSS - 13° Salário</t>
  </si>
  <si>
    <t>Governo - Valor INSS - 13° Salário</t>
  </si>
  <si>
    <t>DANIELI HAISSA CHIRE DE QUISPE</t>
  </si>
  <si>
    <t>JOAO ANTONIO LUCARELO GOMES</t>
  </si>
  <si>
    <t>COMPARA BASES INSS</t>
  </si>
  <si>
    <t>COMPARA VALOR INSS</t>
  </si>
  <si>
    <t xml:space="preserve">Emprestimo Consignado - Competência: set/2026  Períodos: 5 - ADILSON GABRIEL DIAS FERREIRA MIRANDA- 11075354170- 104- 3090- 159032250 </t>
  </si>
  <si>
    <t xml:space="preserve">Emprestimo Consignado - Competência: set/2026  Períodos: 5 - ADRIANO FERREIRA- 38433029878- 104- 3090- 082193433 </t>
  </si>
  <si>
    <t xml:space="preserve">Emprestimo Consignado - Competência: set/2026  Períodos: 5 - ALEX MATHEUS TAVARES CORREA- 05985413144- 104- 3090- 159035942 </t>
  </si>
  <si>
    <t xml:space="preserve">Emprestimo Consignado - Competência: set/2026  Períodos: 5 - ALLAN PETERSON RODRIGUES DE FREITAS- 06837574159- 104- 3090- 157265789 </t>
  </si>
  <si>
    <t xml:space="preserve">Emprestimo Consignado - Competência: set/2026  Períodos: 5 - ALTEVI JUARI PEREIRA- 89202171149- 104- 3090- 157266254 </t>
  </si>
  <si>
    <t xml:space="preserve">Emprestimo Consignado - Competência: set/2026  Períodos: 5 - ANDERSON DA CONCEIÇÃO SANTOS- 11463603550- 104- 3090- 154086867 </t>
  </si>
  <si>
    <t xml:space="preserve">Emprestimo Consignado - Competência: set/2026  Períodos: 5 - ANDERSON NEVES FERREIRA- 98933833153- 104- 3090- 159029535 </t>
  </si>
  <si>
    <t xml:space="preserve">Emprestimo Consignado - Competência: set/2026  Períodos: 5 - ANDRE HENRIQUE SANTOS DE PAULA- 06694872100- 104- 3090- 142857170 </t>
  </si>
  <si>
    <t xml:space="preserve">Emprestimo Consignado - Competência: set/2026  Períodos: 5 - ANTONIO MARTINS DA SILVA- 06189796117- 104- 3090- 157265428 </t>
  </si>
  <si>
    <t xml:space="preserve">Emprestimo Consignado - Competência: set/2026  Períodos: 5 - ARNALDO FERREIRA DE MELO- 08678807407- 104- 3090- 157264855 </t>
  </si>
  <si>
    <t xml:space="preserve">Emprestimo Consignado - Competência: set/2026  Períodos: 5 - CARLITO PAULA DOS SANTOS- 36271056806- 104- 3090- 178323257 </t>
  </si>
  <si>
    <t xml:space="preserve">Emprestimo Consignado - Competência: set/2026  Períodos: 5 - CARLOS ANDRE OLIVEIRA DA SILVA- 52477668811- 104- 3090- 159174616 </t>
  </si>
  <si>
    <t xml:space="preserve">Emprestimo Consignado - Competência: set/2026  Períodos: 5 - CARLOS EDUARDO OLIVEIRA DE LIMA- 06319664126- 104- 3090- 159032196 </t>
  </si>
  <si>
    <t xml:space="preserve">Emprestimo Consignado - Competência: set/2026  Períodos: 5 - CARLOS EDUARDO SILVEIRA COSTA- 06262563130- 104- 3090- 157266335 </t>
  </si>
  <si>
    <t xml:space="preserve">Emprestimo Consignado - Competência: set/2026  Períodos: 5 - CARLOS VINICIUS DE LIMA CAMPOS- 05819691113- 104- 3090- 157263859 </t>
  </si>
  <si>
    <t xml:space="preserve">Emprestimo Consignado - Competência: set/2026  Períodos: 5 - CLEBER SCHNEIDERS MARTINS- 04627836180- 104- 3090- 157264693 </t>
  </si>
  <si>
    <t xml:space="preserve">Emprestimo Consignado - Competência: set/2026  Períodos: 5 - CLEIVISON APARECIDO DA SILVA- 92633285287- 104- 3090- 157266564 </t>
  </si>
  <si>
    <t xml:space="preserve">Emprestimo Consignado - Competência: set/2026  Períodos: 5 - DANIEL DA SILVA FERREIRA- 61458088375- 104- 3090- 159036124 </t>
  </si>
  <si>
    <t xml:space="preserve">Emprestimo Consignado - Competência: set/2026  Períodos: 5 - DANIEL DOS SANTOS SOUZA- 04056719110- 104- 3090- 157265738 </t>
  </si>
  <si>
    <t xml:space="preserve">Emprestimo Consignado - Competência: set/2026  Períodos: 5 - DEJAIR BORGES DE ALMEIDA- 05526813185- 104- 3090- 159032137 </t>
  </si>
  <si>
    <t xml:space="preserve">Emprestimo Consignado - Competência: set/2026  Períodos: 5 - DERIK HENRIQUE DOS SANTOS ANUNCIACAO- 07132055127- 104- 3090- 157265347 </t>
  </si>
  <si>
    <t xml:space="preserve">Emprestimo Consignado - Competência: set/2026  Períodos: 5 - DOUGLAS ORTIS DE OLIVEIRA- 06591997180- 104- 3090- 159032218 </t>
  </si>
  <si>
    <t xml:space="preserve">Emprestimo Consignado - Competência: set/2026  Períodos: 5 - EDUARDO HENRIQUE LOPES LOURENCO- 71158215185- 104- 3090- 157265126 </t>
  </si>
  <si>
    <t xml:space="preserve">Emprestimo Consignado - Competência: set/2026  Períodos: 5 - ELIANA APARECIDA DOMINGUES EMILIO- 33713192880- 104- 3090- 188455210 </t>
  </si>
  <si>
    <t xml:space="preserve">Emprestimo Consignado - Competência: set/2026  Períodos: 5 - FERNANDA MONISE DIAS QUEIROZ- 16028364428- 104- 3090- 163709375 </t>
  </si>
  <si>
    <t xml:space="preserve">Emprestimo Consignado - Competência: set/2026  Períodos: 5 - FERNANDO URBANO- 10101689837- 104- 2785- 866587750 </t>
  </si>
  <si>
    <t xml:space="preserve">Emprestimo Consignado - Competência: set/2026  Períodos: 5 - GUILHERME DOS SANTOS CAVALCANTE- 08987248216- 104- 3090- 159035276 </t>
  </si>
  <si>
    <t xml:space="preserve">Emprestimo Consignado - Competência: set/2026  Períodos: 5 - GUILHERME GABRIEL PARRA- 46546999889- 104- 3090- 932525862 </t>
  </si>
  <si>
    <t xml:space="preserve">Emprestimo Consignado - Competência: set/2026  Períodos: 5 - ISMAEL CESAR DE SOUZA ESPIRITO SANTO- 70173394108- 104- 3090- 159029462 </t>
  </si>
  <si>
    <t xml:space="preserve">Emprestimo Consignado - Competência: set/2026  Períodos: 5 - ISRAEL BORGES DA SILVA- 60981225390- 104- 3090- 159029845 </t>
  </si>
  <si>
    <t xml:space="preserve">Emprestimo Consignado - Competência: set/2026  Períodos: 5 - IVANILDO RODRIGUES DE SOUZA- 90061268100- 104- 3090- 157263875 </t>
  </si>
  <si>
    <t xml:space="preserve">Emprestimo Consignado - Competência: set/2026  Períodos: 5 - JAMES CARVALHO ALMEIDA- 99036614368- 104- 3090- 142251825 </t>
  </si>
  <si>
    <t xml:space="preserve">Emprestimo Consignado - Competência: set/2026  Períodos: 5 - JEFF ALCIUS- 70469807210- 104- 3090- 158968236 </t>
  </si>
  <si>
    <t xml:space="preserve">Emprestimo Consignado - Competência: set/2026  Períodos: 5 - JEREMIAS VIEIRA DE LIMA- 10282135308- 104- 3090- 142807440 </t>
  </si>
  <si>
    <t xml:space="preserve">Emprestimo Consignado - Competência: set/2026  Períodos: 5 - JOADIR MENDES DA SILVA- 05402462127- 104- 3090- 157266939 </t>
  </si>
  <si>
    <t xml:space="preserve">Emprestimo Consignado - Competência: set/2026  Períodos: 5 - JOAO CARLOS DE OLIVEIRA- 33615374878- 104- 0319- 927463242 </t>
  </si>
  <si>
    <t xml:space="preserve">Emprestimo Consignado - Competência: set/2026  Períodos: 5 - JOAO VITOR DE OLIVEIRA DOS SANTOS- 01744807175- 104- 3090- 159037619 </t>
  </si>
  <si>
    <t xml:space="preserve">Emprestimo Consignado - Competência: set/2026  Períodos: 5 - JOCELINO FERNANDO DA SILVA- 70364852135- 104- 3090- 142857227 </t>
  </si>
  <si>
    <t xml:space="preserve">Emprestimo Consignado - Competência: set/2026  Períodos: 5 - JOSE SEBASTIAO DOS SANTOS- 81485026415- 104- 3090- 166910497 </t>
  </si>
  <si>
    <t xml:space="preserve">Emprestimo Consignado - Competência: set/2026  Períodos: 5 - JOSE SERGIO DA SILVA- 03664054113- 104- 3090- 199843284 </t>
  </si>
  <si>
    <t xml:space="preserve">Emprestimo Consignado - Competência: set/2026  Períodos: 5 - JOSE VALENTIM LEITE- 10026082870- 104- 3090- 154086875 </t>
  </si>
  <si>
    <t xml:space="preserve">Emprestimo Consignado - Competência: set/2026  Períodos: 5 - JOSENILSON ARMANDO DA SILVA- 06034023130- 104- 3090- 159029616 </t>
  </si>
  <si>
    <t xml:space="preserve">Emprestimo Consignado - Competência: set/2026  Períodos: 5 - JOSIMAR RODRIGUES NOBRES- 00981190103- 104- 3090- 159029713 </t>
  </si>
  <si>
    <t xml:space="preserve">Emprestimo Consignado - Competência: set/2026  Períodos: 5 - JOSUE CAVALCANTE DOS SANTOS- 02200388993- 104- 3090- 187980664 </t>
  </si>
  <si>
    <t xml:space="preserve">Emprestimo Consignado - Competência: set/2026  Períodos: 5 - LEANDRO ALVES VIANA- 03740431164- 104- 3090- 157265533 </t>
  </si>
  <si>
    <t xml:space="preserve">Emprestimo Consignado - Competência: set/2026  Períodos: 5 - LEANDRO ORIVALDO DE ARRUDA- 03881521178- 104- 3090- 157265355 </t>
  </si>
  <si>
    <t xml:space="preserve">Emprestimo Consignado - Competência: set/2026  Períodos: 5 - LEANDRO VIEIRA DA SILVA- 07428513464- 104- 3090- 159004818 </t>
  </si>
  <si>
    <t xml:space="preserve">Emprestimo Consignado - Competência: set/2026  Períodos: 5 - LINDOVAL FERREIRA DE OLIVEIRA- 72123451991- 104- 3090- 091082070 </t>
  </si>
  <si>
    <t xml:space="preserve">Emprestimo Consignado - Competência: set/2026  Períodos: 5 - LUCAS DE MOURA QUEIROZ- 70327954124- 104- 3090- 091081979 </t>
  </si>
  <si>
    <t xml:space="preserve">Emprestimo Consignado - Competência: set/2026  Períodos: 5 - LUCIANO DO CARMO ARAUJO- 90417844115- 104- 3090- 159004850 </t>
  </si>
  <si>
    <t xml:space="preserve">Emprestimo Consignado - Competência: set/2026  Períodos: 5 - LUIS FERNANDO DOS SANTOS- 23196224899- 104- 3090- 406294221 </t>
  </si>
  <si>
    <t xml:space="preserve">Emprestimo Consignado - Competência: set/2026  Períodos: 5 - LUIS FERNANDO MAGALHAES DA SILVA- 01815298154- 104- 3090- 159029632 </t>
  </si>
  <si>
    <t xml:space="preserve">Emprestimo Consignado - Competência: set/2026  Períodos: 5 - LUIZ CARLOS DE OLIVEIRA JESUS- 89599500172- 104- 3090- 159029586 </t>
  </si>
  <si>
    <t xml:space="preserve">Emprestimo Consignado - Competência: set/2026  Períodos: 5 - LUIZ DE SOUZA AMARAL SOBRINHO- 20009659897- 104- 3090- 149692410 </t>
  </si>
  <si>
    <t xml:space="preserve">Emprestimo Consignado - Competência: set/2026  Períodos: 5 - MANOEL FRANCISCO DA SILVA FILHO- 11031376461- 104- 3090- 159029918 </t>
  </si>
  <si>
    <t xml:space="preserve">Emprestimo Consignado - Competência: set/2026  Períodos: 5 - MARCELO LACERDA DA SILVA- 29723351803- 104- 3090- 190303775 </t>
  </si>
  <si>
    <t xml:space="preserve">Emprestimo Consignado - Competência: set/2026  Períodos: 5 - MARCILIO OLIVEIRA DE ALMEIDA- 04862646107- 104- 3090- 142857197 </t>
  </si>
  <si>
    <t xml:space="preserve">Emprestimo Consignado - Competência: set/2026  Períodos: 5 - MIKAEL EUNORIO DA SILVA COSTA- 05548935178- 104- 3090- 159035640 </t>
  </si>
  <si>
    <t xml:space="preserve">Emprestimo Consignado - Competência: set/2026  Períodos: 5 - PAULO CESAR ALBINO DE SOUZA- 29714518873- 104- 3090- 162390367 </t>
  </si>
  <si>
    <t xml:space="preserve">Emprestimo Consignado - Competência: set/2026  Períodos: 5 - PEDRO HENRIQUE NEVES DA SILVA LIMA- 02431892140- 104- 3090- 157264715 </t>
  </si>
  <si>
    <t xml:space="preserve">Emprestimo Consignado - Competência: set/2026  Períodos: 5 - RAMIRES MAX CAMPOS DE MORAES- 06715349126- 104- 3090- 159029772 </t>
  </si>
  <si>
    <t xml:space="preserve">Emprestimo Consignado - Competência: set/2026  Períodos: 5 - RENAN GUILHERME BUENO DE SOUZA- 06385791122- 104- 3090- 159034342 </t>
  </si>
  <si>
    <t xml:space="preserve">Emprestimo Consignado - Competência: set/2026  Períodos: 5 - RENATO RUSSO SILVA DE MORAES- 05892436160- 104- 3090- 142857090 </t>
  </si>
  <si>
    <t xml:space="preserve">Emprestimo Consignado - Competência: set/2026  Períodos: 5 - RODRIGO DA SILVA BRANDAO- 43967089800- 104- 1153- 631118389 </t>
  </si>
  <si>
    <t xml:space="preserve">Emprestimo Consignado - Competência: set/2026  Períodos: 5 - ROMUALDO ADRIANO MARTINEZ PERES- 02187158110- 104- 3090- 088057191 </t>
  </si>
  <si>
    <t xml:space="preserve">Emprestimo Consignado - Competência: set/2026  Períodos: 5 - ROSEMAR SILVA DE OLIVEIRA- 12077094761- 104- 3090- 158967973 </t>
  </si>
  <si>
    <t xml:space="preserve">Emprestimo Consignado - Competência: set/2026  Períodos: 5 - SAMUEL MACHADO COSTA- 03460885181- 104- 3090- 192847837 </t>
  </si>
  <si>
    <t xml:space="preserve">Emprestimo Consignado - Competência: set/2026  Períodos: 5 - SANDRA LOPES- 32805696808- 104- 3090- 189368567 </t>
  </si>
  <si>
    <t xml:space="preserve">Emprestimo Consignado - Competência: set/2026  Períodos: 5 - SEVERINO JOSE DA SILVA- 11680303406- 104- 3090- 088057221 </t>
  </si>
  <si>
    <t xml:space="preserve">Emprestimo Consignado - Competência: set/2026  Períodos: 5 - TAMER DE SOUZA JUSTI- 44094220810- 104- 3090- 940112229 </t>
  </si>
  <si>
    <t xml:space="preserve">Emprestimo Consignado - Competência: set/2026  Períodos: 5 - VICTOR HUGO CAMPOS MONGE- 06421241166- 104- 3090- 159034555 </t>
  </si>
  <si>
    <t xml:space="preserve">Emprestimo Consignado - Competência: set/2026  Períodos: 5 - VICTOR HUGO SOUZA SALES- 46086416893- 104- 3090- 080240590 </t>
  </si>
  <si>
    <t xml:space="preserve">Emprestimo Consignado - Competência: set/2026  Períodos: 5 - WALLAF BRUNO LIMA DA SILVA- 06416051109- 104- 3090- 159034644 </t>
  </si>
  <si>
    <t xml:space="preserve">Emprestimo Consignado - Competência: set/2026  Períodos: 5 - WEDRIQUI DA SILVA- 71724771116- 104- 3090- 093852140 </t>
  </si>
  <si>
    <t xml:space="preserve">Emprestimo Consignado - Competência: set/2026  Períodos: 5 - WILLIAM CAMPOS DE MORAES- 71886127140- 104- 3090- 159032145 </t>
  </si>
  <si>
    <t xml:space="preserve">Emprestimo Consignado - Competência: set/2026  Períodos: 5 - WILLIAN SILVA DE OLIVEIRA- 03235864148- 104- 3090- 155115534 </t>
  </si>
  <si>
    <t xml:space="preserve">Emprestimo Consignado - Competência: set/2026  Períodos: 5 - WILSON MARCELINO DO NASCIMENTO- 55171303134- 104- 3090- 157264936 </t>
  </si>
  <si>
    <t>Emprestimo Consignado - Competência: set/2026  Períodos: 5 - EDMILTON PEREIRA DE ARRUDA- 04634736128- 104- 3090- 157263840</t>
  </si>
  <si>
    <t>Soma de Valor FGTS na Guia</t>
  </si>
  <si>
    <t>Soma de IRRF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</si>
</sst>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$&quot;\ * #,##0.00_-;\-&quot;R$&quot;\ * #,##0.00_-;_-&quot;R$&quot;\ * &quot;-&quot;??_-;_-@_-"/>
    <numFmt numFmtId="164" formatCode="[$R$-416]\ #,##0.00;\-[$R$-416]\ #,##0.00;[$R$-416]\ #,##0.00;@"/>
    <numFmt numFmtId="165" formatCode="0.0000"/>
    <numFmt numFmtId="166" formatCode="[$R$-416]\ #,##0.00;\-[$R$-416]\ #,##0.00"/>
    <numFmt numFmtId="167" formatCode="_(&quot;R$&quot;* #,##0.00_);_(&quot;R$&quot;* \(#,##0.00\);_(&quot;R$&quot;* &quot;-&quot;??_);_(@_)"/>
  </numFmts>
  <fonts count="22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8.25"/>
      <color rgb="FF000000"/>
      <name val="Tahoma"/>
      <family val="2"/>
    </font>
    <font>
      <sz val="11"/>
      <color rgb="FFFF0000"/>
      <name val="Calibri"/>
      <family val="2"/>
      <scheme val="minor"/>
    </font>
    <font>
      <sz val="8.25"/>
      <color rgb="FF282828"/>
      <name val="Tahoma"/>
      <family val="2"/>
    </font>
    <font>
      <sz val="8.25"/>
      <color rgb="FF000000"/>
      <name val="Tahoma"/>
      <family val="2"/>
    </font>
    <font>
      <sz val="8.25"/>
      <color rgb="FF282828"/>
      <name val="Tahoma"/>
      <family val="2"/>
    </font>
    <font>
      <sz val="12"/>
      <color rgb="FF616D85"/>
      <name val="Roboto"/>
    </font>
    <font>
      <sz val="11"/>
      <color rgb="FF666666"/>
      <name val="Roboto"/>
    </font>
    <font>
      <sz val="11"/>
      <color rgb="FF4F8359"/>
      <name val="Roboto"/>
    </font>
    <font>
      <sz val="12"/>
      <color rgb="FF616D85"/>
      <name val="Inherit"/>
    </font>
    <font>
      <b/>
      <sz val="10"/>
      <color indexed="8"/>
      <name val="Calibri"/>
      <family val="2"/>
    </font>
    <font>
      <b/>
      <sz val="8"/>
      <color rgb="FFFFFFFF"/>
      <name val="Ubuntu"/>
      <family val="2"/>
    </font>
    <font>
      <sz val="8"/>
      <color rgb="FFFFFFFF"/>
      <name val="Ubuntu"/>
      <family val="2"/>
    </font>
    <font>
      <sz val="11"/>
      <color theme="1"/>
      <name val="Ubuntu"/>
      <family val="2"/>
    </font>
    <font>
      <sz val="8"/>
      <color theme="1"/>
      <name val="Ubuntu"/>
      <family val="2"/>
    </font>
    <font>
      <sz val="8"/>
      <color rgb="FF6C6C6C"/>
      <name val="Ubuntu"/>
      <family val="2"/>
    </font>
    <font>
      <b/>
      <sz val="11"/>
      <color theme="1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7EADD"/>
      </patternFill>
    </fill>
    <fill>
      <patternFill patternType="solid">
        <fgColor rgb="FFFFFFFF"/>
        <bgColor indexed="64"/>
      </patternFill>
    </fill>
    <fill>
      <patternFill patternType="solid">
        <fgColor rgb="FFCCE2D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34A6C1"/>
        <bgColor indexed="64"/>
      </patternFill>
    </fill>
    <fill>
      <patternFill patternType="solid">
        <fgColor rgb="FFE5F3F6"/>
        <bgColor indexed="64"/>
      </patternFill>
    </fill>
    <fill>
      <patternFill patternType="solid">
        <fgColor rgb="FF3E87AA"/>
        <bgColor indexed="64"/>
      </patternFill>
    </fill>
    <fill>
      <patternFill patternType="solid">
        <fgColor rgb="FF91B5C5"/>
        <bgColor indexed="64"/>
      </patternFill>
    </fill>
    <fill>
      <patternFill patternType="solid">
        <fgColor rgb="FFE7E5E6"/>
        <bgColor indexed="64"/>
      </patternFill>
    </fill>
    <fill>
      <patternFill patternType="solid">
        <fgColor rgb="FFF2F4F3"/>
        <bgColor indexed="64"/>
      </patternFill>
    </fill>
    <fill>
      <patternFill patternType="solid">
        <fgColor rgb="FF6C91A3"/>
        <bgColor indexed="64"/>
      </patternFill>
    </fill>
    <fill>
      <patternFill patternType="solid">
        <fgColor rgb="FFD9E1F2"/>
        <bgColor indexed="64"/>
      </patternFill>
    </fill>
  </fills>
  <borders count="4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/>
      <bottom style="thick">
        <color rgb="FFDDDDDD"/>
      </bottom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DDDDDD"/>
      </top>
      <bottom style="thick">
        <color rgb="FFDDDDDD"/>
      </bottom>
      <diagonal/>
    </border>
    <border>
      <left style="thick">
        <color rgb="FFE5F3F6"/>
      </left>
      <right style="thick">
        <color rgb="FFE5F3F6"/>
      </right>
      <top style="medium">
        <color rgb="FFDDDDDD"/>
      </top>
      <bottom style="thick">
        <color rgb="FFE5F3F6"/>
      </bottom>
      <diagonal/>
    </border>
    <border>
      <left style="thick">
        <color rgb="FFE5F3F6"/>
      </left>
      <right/>
      <top style="medium">
        <color rgb="FFDDDDDD"/>
      </top>
      <bottom style="thick">
        <color rgb="FFE5F3F6"/>
      </bottom>
      <diagonal/>
    </border>
    <border>
      <left/>
      <right style="thick">
        <color rgb="FFE5F3F6"/>
      </right>
      <top style="medium">
        <color rgb="FFDDDDDD"/>
      </top>
      <bottom style="thick">
        <color rgb="FFE5F3F6"/>
      </bottom>
      <diagonal/>
    </border>
    <border>
      <left style="thick">
        <color rgb="FFE5F3F6"/>
      </left>
      <right style="thick">
        <color rgb="FFE5F3F6"/>
      </right>
      <top/>
      <bottom/>
      <diagonal/>
    </border>
    <border>
      <left style="thick">
        <color rgb="FFE5F3F6"/>
      </left>
      <right style="thick">
        <color rgb="FFE5F3F6"/>
      </right>
      <top/>
      <bottom style="thick">
        <color rgb="FFE5F3F6"/>
      </bottom>
      <diagonal/>
    </border>
    <border>
      <left style="thick">
        <color rgb="FFE5F3F6"/>
      </left>
      <right/>
      <top style="medium">
        <color rgb="FFDDDDDD"/>
      </top>
      <bottom/>
      <diagonal/>
    </border>
    <border>
      <left/>
      <right style="thick">
        <color rgb="FFE5F3F6"/>
      </right>
      <top style="medium">
        <color rgb="FFDDDDDD"/>
      </top>
      <bottom/>
      <diagonal/>
    </border>
    <border>
      <left style="thick">
        <color rgb="FFE5F3F6"/>
      </left>
      <right/>
      <top/>
      <bottom style="thick">
        <color rgb="FFE5F3F6"/>
      </bottom>
      <diagonal/>
    </border>
    <border>
      <left/>
      <right style="thick">
        <color rgb="FFE5F3F6"/>
      </right>
      <top/>
      <bottom style="thick">
        <color rgb="FFE5F3F6"/>
      </bottom>
      <diagonal/>
    </border>
    <border>
      <left style="thick">
        <color rgb="FFE5F3F6"/>
      </left>
      <right/>
      <top style="thick">
        <color rgb="FFE5F3F6"/>
      </top>
      <bottom style="thick">
        <color rgb="FFE5F3F6"/>
      </bottom>
      <diagonal/>
    </border>
    <border>
      <left/>
      <right/>
      <top style="thick">
        <color rgb="FFE5F3F6"/>
      </top>
      <bottom style="thick">
        <color rgb="FFE5F3F6"/>
      </bottom>
      <diagonal/>
    </border>
    <border>
      <left/>
      <right style="thick">
        <color rgb="FFE5F3F6"/>
      </right>
      <top style="thick">
        <color rgb="FFE5F3F6"/>
      </top>
      <bottom style="thick">
        <color rgb="FFE5F3F6"/>
      </bottom>
      <diagonal/>
    </border>
    <border>
      <left style="thick">
        <color rgb="FFE5F3F6"/>
      </left>
      <right style="thick">
        <color rgb="FFE5F3F6"/>
      </right>
      <top style="thick">
        <color rgb="FFE5F3F6"/>
      </top>
      <bottom/>
      <diagonal/>
    </border>
    <border>
      <left/>
      <right/>
      <top style="thick">
        <color rgb="FFE5F3F6"/>
      </top>
      <bottom/>
      <diagonal/>
    </border>
    <border>
      <left/>
      <right style="thick">
        <color rgb="FFE5F3F6"/>
      </right>
      <top style="thick">
        <color rgb="FFE5F3F6"/>
      </top>
      <bottom/>
      <diagonal/>
    </border>
    <border>
      <left style="thick">
        <color rgb="FFE5F3F6"/>
      </left>
      <right/>
      <top style="thick">
        <color rgb="FFE5F3F6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/>
      <diagonal/>
    </border>
    <border>
      <left/>
      <right style="thin">
        <color rgb="FFFF0000"/>
      </right>
      <top style="thin">
        <color rgb="FFFF0000"/>
      </top>
      <bottom/>
      <diagonal/>
    </border>
    <border>
      <left style="thin">
        <color rgb="FFFF0000"/>
      </left>
      <right/>
      <top/>
      <bottom/>
      <diagonal/>
    </border>
    <border>
      <left/>
      <right style="thin">
        <color rgb="FFFF0000"/>
      </right>
      <top/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32">
    <xf numFmtId="0" fontId="0" fillId="0" borderId="0" xfId="0"/>
    <xf numFmtId="44" fontId="5" fillId="0" borderId="2" xfId="1" applyFont="1" applyBorder="1"/>
    <xf numFmtId="44" fontId="0" fillId="0" borderId="3" xfId="1" applyFont="1" applyBorder="1"/>
    <xf numFmtId="44" fontId="0" fillId="0" borderId="4" xfId="1" applyFont="1" applyBorder="1"/>
    <xf numFmtId="44" fontId="0" fillId="0" borderId="5" xfId="1" applyFont="1" applyBorder="1"/>
    <xf numFmtId="44" fontId="0" fillId="0" borderId="0" xfId="1" applyFont="1" applyBorder="1"/>
    <xf numFmtId="44" fontId="0" fillId="0" borderId="6" xfId="1" applyFont="1" applyBorder="1"/>
    <xf numFmtId="44" fontId="0" fillId="0" borderId="7" xfId="1" applyFont="1" applyBorder="1"/>
    <xf numFmtId="44" fontId="0" fillId="4" borderId="8" xfId="1" applyFont="1" applyFill="1" applyBorder="1"/>
    <xf numFmtId="44" fontId="0" fillId="0" borderId="2" xfId="1" applyFont="1" applyBorder="1"/>
    <xf numFmtId="44" fontId="3" fillId="0" borderId="5" xfId="1" applyFont="1" applyBorder="1"/>
    <xf numFmtId="44" fontId="3" fillId="0" borderId="0" xfId="1" applyFont="1" applyBorder="1"/>
    <xf numFmtId="164" fontId="0" fillId="0" borderId="0" xfId="1" applyNumberFormat="1" applyFont="1" applyBorder="1"/>
    <xf numFmtId="2" fontId="0" fillId="0" borderId="0" xfId="1" applyNumberFormat="1" applyFont="1" applyBorder="1"/>
    <xf numFmtId="165" fontId="0" fillId="0" borderId="0" xfId="1" applyNumberFormat="1" applyFont="1" applyBorder="1"/>
    <xf numFmtId="164" fontId="0" fillId="0" borderId="0" xfId="1" applyNumberFormat="1" applyFont="1" applyFill="1" applyBorder="1"/>
    <xf numFmtId="44" fontId="0" fillId="6" borderId="6" xfId="1" applyFont="1" applyFill="1" applyBorder="1"/>
    <xf numFmtId="44" fontId="0" fillId="0" borderId="9" xfId="1" applyFont="1" applyBorder="1"/>
    <xf numFmtId="44" fontId="0" fillId="4" borderId="10" xfId="1" applyFont="1" applyFill="1" applyBorder="1"/>
    <xf numFmtId="9" fontId="0" fillId="0" borderId="5" xfId="1" applyNumberFormat="1" applyFont="1" applyBorder="1"/>
    <xf numFmtId="164" fontId="0" fillId="0" borderId="5" xfId="1" applyNumberFormat="1" applyFont="1" applyBorder="1"/>
    <xf numFmtId="9" fontId="0" fillId="0" borderId="9" xfId="1" applyNumberFormat="1" applyFont="1" applyBorder="1"/>
    <xf numFmtId="44" fontId="0" fillId="0" borderId="11" xfId="1" applyFont="1" applyBorder="1"/>
    <xf numFmtId="44" fontId="0" fillId="0" borderId="10" xfId="1" applyFont="1" applyBorder="1"/>
    <xf numFmtId="164" fontId="0" fillId="9" borderId="0" xfId="1" applyNumberFormat="1" applyFont="1" applyFill="1" applyBorder="1"/>
    <xf numFmtId="164" fontId="0" fillId="10" borderId="0" xfId="1" applyNumberFormat="1" applyFont="1" applyFill="1" applyBorder="1"/>
    <xf numFmtId="164" fontId="0" fillId="11" borderId="0" xfId="1" applyNumberFormat="1" applyFont="1" applyFill="1" applyBorder="1"/>
    <xf numFmtId="44" fontId="0" fillId="8" borderId="0" xfId="1" applyFont="1" applyFill="1" applyBorder="1"/>
    <xf numFmtId="164" fontId="0" fillId="12" borderId="0" xfId="1" applyNumberFormat="1" applyFont="1" applyFill="1" applyBorder="1"/>
    <xf numFmtId="44" fontId="0" fillId="0" borderId="0" xfId="0" applyNumberFormat="1"/>
    <xf numFmtId="164" fontId="0" fillId="7" borderId="0" xfId="0" applyNumberFormat="1" applyFill="1"/>
    <xf numFmtId="44" fontId="0" fillId="0" borderId="0" xfId="1" applyFont="1"/>
    <xf numFmtId="44" fontId="3" fillId="0" borderId="10" xfId="1" applyFont="1" applyBorder="1"/>
    <xf numFmtId="49" fontId="1" fillId="2" borderId="1" xfId="0" applyNumberFormat="1" applyFont="1" applyFill="1" applyBorder="1" applyAlignment="1">
      <alignment horizontal="left" vertical="center" wrapText="1" readingOrder="1"/>
    </xf>
    <xf numFmtId="49" fontId="1" fillId="2" borderId="1" xfId="0" applyNumberFormat="1" applyFont="1" applyFill="1" applyBorder="1" applyAlignment="1">
      <alignment vertical="center" wrapText="1" readingOrder="1"/>
    </xf>
    <xf numFmtId="0" fontId="0" fillId="0" borderId="0" xfId="0" applyAlignment="1">
      <alignment wrapText="1"/>
    </xf>
    <xf numFmtId="164" fontId="0" fillId="0" borderId="0" xfId="0" applyNumberFormat="1"/>
    <xf numFmtId="165" fontId="3" fillId="0" borderId="0" xfId="1" applyNumberFormat="1" applyFont="1" applyBorder="1"/>
    <xf numFmtId="49" fontId="6" fillId="2" borderId="1" xfId="0" applyNumberFormat="1" applyFont="1" applyFill="1" applyBorder="1" applyAlignment="1">
      <alignment horizontal="left" vertical="center" readingOrder="1"/>
    </xf>
    <xf numFmtId="164" fontId="6" fillId="3" borderId="1" xfId="0" applyNumberFormat="1" applyFont="1" applyFill="1" applyBorder="1" applyAlignment="1">
      <alignment vertical="center" readingOrder="1"/>
    </xf>
    <xf numFmtId="164" fontId="6" fillId="3" borderId="1" xfId="0" applyNumberFormat="1" applyFont="1" applyFill="1" applyBorder="1" applyAlignment="1">
      <alignment horizontal="right" vertical="center" readingOrder="1"/>
    </xf>
    <xf numFmtId="49" fontId="6" fillId="2" borderId="1" xfId="0" applyNumberFormat="1" applyFont="1" applyFill="1" applyBorder="1" applyAlignment="1">
      <alignment vertical="center" readingOrder="1"/>
    </xf>
    <xf numFmtId="0" fontId="0" fillId="4" borderId="12" xfId="0" applyFill="1" applyBorder="1" applyAlignment="1">
      <alignment horizontal="center"/>
    </xf>
    <xf numFmtId="44" fontId="7" fillId="0" borderId="0" xfId="1" applyFont="1" applyBorder="1"/>
    <xf numFmtId="44" fontId="0" fillId="0" borderId="13" xfId="1" applyFont="1" applyBorder="1"/>
    <xf numFmtId="44" fontId="0" fillId="5" borderId="13" xfId="1" applyFont="1" applyFill="1" applyBorder="1"/>
    <xf numFmtId="166" fontId="0" fillId="4" borderId="0" xfId="0" applyNumberFormat="1" applyFill="1"/>
    <xf numFmtId="164" fontId="8" fillId="14" borderId="14" xfId="0" applyNumberFormat="1" applyFont="1" applyFill="1" applyBorder="1" applyAlignment="1">
      <alignment vertical="center" readingOrder="1"/>
    </xf>
    <xf numFmtId="49" fontId="1" fillId="2" borderId="14" xfId="0" applyNumberFormat="1" applyFont="1" applyFill="1" applyBorder="1" applyAlignment="1">
      <alignment vertical="center" readingOrder="1"/>
    </xf>
    <xf numFmtId="166" fontId="0" fillId="0" borderId="0" xfId="0" applyNumberFormat="1"/>
    <xf numFmtId="164" fontId="8" fillId="14" borderId="14" xfId="0" applyNumberFormat="1" applyFont="1" applyFill="1" applyBorder="1" applyAlignment="1">
      <alignment horizontal="right" vertical="center" readingOrder="1"/>
    </xf>
    <xf numFmtId="164" fontId="8" fillId="3" borderId="14" xfId="0" applyNumberFormat="1" applyFont="1" applyFill="1" applyBorder="1" applyAlignment="1">
      <alignment horizontal="right" vertical="center" readingOrder="1"/>
    </xf>
    <xf numFmtId="164" fontId="8" fillId="3" borderId="14" xfId="0" applyNumberFormat="1" applyFont="1" applyFill="1" applyBorder="1" applyAlignment="1">
      <alignment vertical="center" readingOrder="1"/>
    </xf>
    <xf numFmtId="49" fontId="1" fillId="2" borderId="14" xfId="0" applyNumberFormat="1" applyFont="1" applyFill="1" applyBorder="1" applyAlignment="1">
      <alignment horizontal="left" vertical="center" readingOrder="1"/>
    </xf>
    <xf numFmtId="49" fontId="1" fillId="2" borderId="15" xfId="0" applyNumberFormat="1" applyFont="1" applyFill="1" applyBorder="1" applyAlignment="1">
      <alignment horizontal="left" vertical="center" readingOrder="1"/>
    </xf>
    <xf numFmtId="4" fontId="0" fillId="0" borderId="0" xfId="0" applyNumberFormat="1"/>
    <xf numFmtId="49" fontId="9" fillId="2" borderId="1" xfId="0" applyNumberFormat="1" applyFont="1" applyFill="1" applyBorder="1" applyAlignment="1">
      <alignment horizontal="left" vertical="center" readingOrder="1"/>
    </xf>
    <xf numFmtId="164" fontId="9" fillId="3" borderId="1" xfId="0" applyNumberFormat="1" applyFont="1" applyFill="1" applyBorder="1" applyAlignment="1">
      <alignment horizontal="right" vertical="center" readingOrder="1"/>
    </xf>
    <xf numFmtId="164" fontId="9" fillId="3" borderId="1" xfId="0" applyNumberFormat="1" applyFont="1" applyFill="1" applyBorder="1" applyAlignment="1">
      <alignment vertical="center" readingOrder="1"/>
    </xf>
    <xf numFmtId="164" fontId="10" fillId="14" borderId="14" xfId="0" applyNumberFormat="1" applyFont="1" applyFill="1" applyBorder="1" applyAlignment="1">
      <alignment vertical="center" readingOrder="1"/>
    </xf>
    <xf numFmtId="49" fontId="9" fillId="2" borderId="14" xfId="0" applyNumberFormat="1" applyFont="1" applyFill="1" applyBorder="1" applyAlignment="1">
      <alignment vertical="center" readingOrder="1"/>
    </xf>
    <xf numFmtId="164" fontId="10" fillId="3" borderId="14" xfId="0" applyNumberFormat="1" applyFont="1" applyFill="1" applyBorder="1" applyAlignment="1">
      <alignment vertical="center" readingOrder="1"/>
    </xf>
    <xf numFmtId="49" fontId="9" fillId="2" borderId="14" xfId="0" applyNumberFormat="1" applyFont="1" applyFill="1" applyBorder="1" applyAlignment="1">
      <alignment horizontal="left" vertical="center" readingOrder="1"/>
    </xf>
    <xf numFmtId="0" fontId="9" fillId="2" borderId="14" xfId="0" applyFont="1" applyFill="1" applyBorder="1" applyAlignment="1">
      <alignment horizontal="left" vertical="center" readingOrder="1"/>
    </xf>
    <xf numFmtId="0" fontId="11" fillId="0" borderId="0" xfId="0" applyFont="1" applyAlignment="1">
      <alignment horizontal="left" vertical="center" wrapText="1" indent="4"/>
    </xf>
    <xf numFmtId="0" fontId="0" fillId="15" borderId="0" xfId="0" applyFill="1"/>
    <xf numFmtId="0" fontId="13" fillId="16" borderId="16" xfId="0" applyFont="1" applyFill="1" applyBorder="1" applyAlignment="1">
      <alignment horizontal="center" wrapText="1"/>
    </xf>
    <xf numFmtId="0" fontId="12" fillId="17" borderId="17" xfId="0" applyFont="1" applyFill="1" applyBorder="1" applyAlignment="1">
      <alignment horizontal="left" vertical="center" wrapText="1"/>
    </xf>
    <xf numFmtId="4" fontId="12" fillId="17" borderId="17" xfId="0" applyNumberFormat="1" applyFont="1" applyFill="1" applyBorder="1" applyAlignment="1">
      <alignment horizontal="center" vertical="center" wrapText="1"/>
    </xf>
    <xf numFmtId="0" fontId="13" fillId="16" borderId="18" xfId="0" applyFont="1" applyFill="1" applyBorder="1" applyAlignment="1">
      <alignment horizontal="center" wrapText="1"/>
    </xf>
    <xf numFmtId="0" fontId="0" fillId="15" borderId="17" xfId="0" applyFill="1" applyBorder="1"/>
    <xf numFmtId="0" fontId="14" fillId="0" borderId="0" xfId="0" applyFont="1" applyAlignment="1">
      <alignment horizontal="left" vertical="center" wrapText="1" indent="4"/>
    </xf>
    <xf numFmtId="0" fontId="12" fillId="17" borderId="17" xfId="0" applyFont="1" applyFill="1" applyBorder="1" applyAlignment="1">
      <alignment horizontal="center" vertical="center" wrapText="1"/>
    </xf>
    <xf numFmtId="0" fontId="12" fillId="15" borderId="17" xfId="0" applyFont="1" applyFill="1" applyBorder="1" applyAlignment="1">
      <alignment horizontal="left" vertical="center" wrapText="1"/>
    </xf>
    <xf numFmtId="0" fontId="12" fillId="15" borderId="17" xfId="0" applyFont="1" applyFill="1" applyBorder="1" applyAlignment="1">
      <alignment horizontal="center" vertical="center" wrapText="1"/>
    </xf>
    <xf numFmtId="4" fontId="12" fillId="15" borderId="17" xfId="0" applyNumberFormat="1" applyFont="1" applyFill="1" applyBorder="1" applyAlignment="1">
      <alignment horizontal="center" vertical="center" wrapText="1"/>
    </xf>
    <xf numFmtId="0" fontId="0" fillId="15" borderId="20" xfId="0" applyFill="1" applyBorder="1" applyAlignment="1">
      <alignment horizontal="right" vertical="center" wrapText="1"/>
    </xf>
    <xf numFmtId="4" fontId="0" fillId="15" borderId="21" xfId="0" applyNumberFormat="1" applyFill="1" applyBorder="1" applyAlignment="1">
      <alignment horizontal="right" vertical="center" wrapText="1"/>
    </xf>
    <xf numFmtId="0" fontId="0" fillId="15" borderId="21" xfId="0" applyFill="1" applyBorder="1" applyAlignment="1">
      <alignment horizontal="right" vertical="center" wrapText="1"/>
    </xf>
    <xf numFmtId="0" fontId="0" fillId="15" borderId="32" xfId="0" applyFill="1" applyBorder="1"/>
    <xf numFmtId="0" fontId="0" fillId="15" borderId="33" xfId="0" applyFill="1" applyBorder="1"/>
    <xf numFmtId="167" fontId="0" fillId="0" borderId="0" xfId="0" applyNumberFormat="1"/>
    <xf numFmtId="0" fontId="16" fillId="18" borderId="19" xfId="0" applyFont="1" applyFill="1" applyBorder="1" applyAlignment="1">
      <alignment horizontal="center" vertical="top" wrapText="1"/>
    </xf>
    <xf numFmtId="0" fontId="17" fillId="19" borderId="19" xfId="0" applyFont="1" applyFill="1" applyBorder="1" applyAlignment="1">
      <alignment horizontal="right" vertical="center" wrapText="1" indent="1"/>
    </xf>
    <xf numFmtId="0" fontId="17" fillId="20" borderId="19" xfId="0" applyFont="1" applyFill="1" applyBorder="1" applyAlignment="1">
      <alignment horizontal="right" vertical="center" wrapText="1" indent="1"/>
    </xf>
    <xf numFmtId="4" fontId="17" fillId="20" borderId="19" xfId="0" applyNumberFormat="1" applyFont="1" applyFill="1" applyBorder="1" applyAlignment="1">
      <alignment horizontal="right" vertical="center" wrapText="1" indent="1"/>
    </xf>
    <xf numFmtId="0" fontId="18" fillId="19" borderId="19" xfId="0" applyFont="1" applyFill="1" applyBorder="1" applyAlignment="1">
      <alignment horizontal="right" vertical="center" wrapText="1"/>
    </xf>
    <xf numFmtId="0" fontId="19" fillId="15" borderId="19" xfId="0" applyFont="1" applyFill="1" applyBorder="1" applyAlignment="1">
      <alignment vertical="center" wrapText="1"/>
    </xf>
    <xf numFmtId="0" fontId="17" fillId="21" borderId="19" xfId="0" applyFont="1" applyFill="1" applyBorder="1" applyAlignment="1">
      <alignment horizontal="right" vertical="center" wrapText="1" indent="1"/>
    </xf>
    <xf numFmtId="4" fontId="17" fillId="21" borderId="19" xfId="0" applyNumberFormat="1" applyFont="1" applyFill="1" applyBorder="1" applyAlignment="1">
      <alignment horizontal="right" vertical="center" wrapText="1" indent="1"/>
    </xf>
    <xf numFmtId="0" fontId="20" fillId="19" borderId="19" xfId="0" applyFont="1" applyFill="1" applyBorder="1" applyAlignment="1">
      <alignment horizontal="right" vertical="center" wrapText="1" indent="1"/>
    </xf>
    <xf numFmtId="17" fontId="20" fillId="22" borderId="19" xfId="0" applyNumberFormat="1" applyFont="1" applyFill="1" applyBorder="1" applyAlignment="1">
      <alignment horizontal="right" vertical="center" wrapText="1" indent="1"/>
    </xf>
    <xf numFmtId="4" fontId="20" fillId="22" borderId="19" xfId="0" applyNumberFormat="1" applyFont="1" applyFill="1" applyBorder="1" applyAlignment="1">
      <alignment horizontal="right" vertical="center" wrapText="1" indent="1"/>
    </xf>
    <xf numFmtId="17" fontId="20" fillId="23" borderId="19" xfId="0" applyNumberFormat="1" applyFont="1" applyFill="1" applyBorder="1" applyAlignment="1">
      <alignment horizontal="right" vertical="center" wrapText="1" indent="1"/>
    </xf>
    <xf numFmtId="0" fontId="20" fillId="23" borderId="19" xfId="0" applyFont="1" applyFill="1" applyBorder="1" applyAlignment="1">
      <alignment horizontal="right" vertical="center" wrapText="1" indent="1"/>
    </xf>
    <xf numFmtId="4" fontId="20" fillId="23" borderId="19" xfId="0" applyNumberFormat="1" applyFont="1" applyFill="1" applyBorder="1" applyAlignment="1">
      <alignment horizontal="right" vertical="center" wrapText="1" indent="1"/>
    </xf>
    <xf numFmtId="0" fontId="17" fillId="24" borderId="19" xfId="0" applyFont="1" applyFill="1" applyBorder="1" applyAlignment="1">
      <alignment horizontal="right" vertical="center" wrapText="1" indent="1"/>
    </xf>
    <xf numFmtId="4" fontId="17" fillId="24" borderId="19" xfId="0" applyNumberFormat="1" applyFont="1" applyFill="1" applyBorder="1" applyAlignment="1">
      <alignment horizontal="right" vertical="center" wrapText="1" indent="1"/>
    </xf>
    <xf numFmtId="0" fontId="15" fillId="25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" fontId="21" fillId="0" borderId="0" xfId="0" applyNumberFormat="1" applyFont="1"/>
    <xf numFmtId="44" fontId="0" fillId="5" borderId="35" xfId="1" applyFont="1" applyFill="1" applyBorder="1"/>
    <xf numFmtId="44" fontId="4" fillId="7" borderId="36" xfId="1" applyFont="1" applyFill="1" applyBorder="1"/>
    <xf numFmtId="44" fontId="0" fillId="8" borderId="37" xfId="1" applyFont="1" applyFill="1" applyBorder="1"/>
    <xf numFmtId="44" fontId="0" fillId="5" borderId="38" xfId="1" applyFont="1" applyFill="1" applyBorder="1"/>
    <xf numFmtId="44" fontId="0" fillId="0" borderId="37" xfId="1" applyFont="1" applyBorder="1"/>
    <xf numFmtId="44" fontId="0" fillId="0" borderId="39" xfId="1" applyFont="1" applyBorder="1"/>
    <xf numFmtId="164" fontId="0" fillId="0" borderId="40" xfId="1" applyNumberFormat="1" applyFont="1" applyBorder="1"/>
    <xf numFmtId="44" fontId="0" fillId="0" borderId="41" xfId="1" applyFont="1" applyBorder="1"/>
    <xf numFmtId="164" fontId="0" fillId="0" borderId="42" xfId="1" applyNumberFormat="1" applyFont="1" applyBorder="1"/>
    <xf numFmtId="44" fontId="0" fillId="0" borderId="43" xfId="1" applyFont="1" applyBorder="1"/>
    <xf numFmtId="164" fontId="0" fillId="0" borderId="44" xfId="0" applyNumberFormat="1" applyBorder="1"/>
    <xf numFmtId="164" fontId="0" fillId="0" borderId="37" xfId="1" applyNumberFormat="1" applyFont="1" applyBorder="1"/>
    <xf numFmtId="164" fontId="0" fillId="13" borderId="37" xfId="1" applyNumberFormat="1" applyFont="1" applyFill="1" applyBorder="1"/>
    <xf numFmtId="44" fontId="3" fillId="0" borderId="3" xfId="1" applyFont="1" applyBorder="1" applyAlignment="1">
      <alignment horizontal="center" wrapText="1"/>
    </xf>
    <xf numFmtId="44" fontId="3" fillId="0" borderId="0" xfId="1" applyFont="1" applyBorder="1" applyAlignment="1">
      <alignment horizontal="center" wrapText="1"/>
    </xf>
    <xf numFmtId="0" fontId="16" fillId="18" borderId="24" xfId="0" applyFont="1" applyFill="1" applyBorder="1" applyAlignment="1">
      <alignment horizontal="center" vertical="top" wrapText="1"/>
    </xf>
    <xf numFmtId="0" fontId="16" fillId="18" borderId="25" xfId="0" applyFont="1" applyFill="1" applyBorder="1" applyAlignment="1">
      <alignment horizontal="center" vertical="top" wrapText="1"/>
    </xf>
    <xf numFmtId="0" fontId="16" fillId="18" borderId="26" xfId="0" applyFont="1" applyFill="1" applyBorder="1" applyAlignment="1">
      <alignment horizontal="center" vertical="top" wrapText="1"/>
    </xf>
    <xf numFmtId="0" fontId="16" fillId="18" borderId="27" xfId="0" applyFont="1" applyFill="1" applyBorder="1" applyAlignment="1">
      <alignment horizontal="center" vertical="top" wrapText="1"/>
    </xf>
    <xf numFmtId="0" fontId="17" fillId="20" borderId="28" xfId="0" applyFont="1" applyFill="1" applyBorder="1" applyAlignment="1">
      <alignment horizontal="left" vertical="center" wrapText="1" indent="1"/>
    </xf>
    <xf numFmtId="0" fontId="17" fillId="20" borderId="30" xfId="0" applyFont="1" applyFill="1" applyBorder="1" applyAlignment="1">
      <alignment horizontal="left" vertical="center" wrapText="1" indent="1"/>
    </xf>
    <xf numFmtId="0" fontId="16" fillId="18" borderId="28" xfId="0" applyFont="1" applyFill="1" applyBorder="1" applyAlignment="1">
      <alignment horizontal="center" vertical="top" wrapText="1"/>
    </xf>
    <xf numFmtId="0" fontId="16" fillId="18" borderId="29" xfId="0" applyFont="1" applyFill="1" applyBorder="1" applyAlignment="1">
      <alignment horizontal="center" vertical="top" wrapText="1"/>
    </xf>
    <xf numFmtId="0" fontId="16" fillId="18" borderId="30" xfId="0" applyFont="1" applyFill="1" applyBorder="1" applyAlignment="1">
      <alignment horizontal="center" vertical="top" wrapText="1"/>
    </xf>
    <xf numFmtId="0" fontId="16" fillId="18" borderId="31" xfId="0" applyFont="1" applyFill="1" applyBorder="1" applyAlignment="1">
      <alignment horizontal="center" vertical="top" wrapText="1"/>
    </xf>
    <xf numFmtId="0" fontId="16" fillId="18" borderId="22" xfId="0" applyFont="1" applyFill="1" applyBorder="1" applyAlignment="1">
      <alignment horizontal="center" vertical="top" wrapText="1"/>
    </xf>
    <xf numFmtId="0" fontId="16" fillId="18" borderId="23" xfId="0" applyFont="1" applyFill="1" applyBorder="1" applyAlignment="1">
      <alignment horizontal="center" vertical="top" wrapText="1"/>
    </xf>
    <xf numFmtId="0" fontId="16" fillId="18" borderId="34" xfId="0" applyFont="1" applyFill="1" applyBorder="1" applyAlignment="1">
      <alignment horizontal="center" vertical="top" wrapText="1"/>
    </xf>
    <xf numFmtId="0" fontId="16" fillId="18" borderId="33" xfId="0" applyFont="1" applyFill="1" applyBorder="1" applyAlignment="1">
      <alignment horizontal="center" vertical="top" wrapText="1"/>
    </xf>
  </cellXfs>
  <cellStyles count="2">
    <cellStyle name="Moeda" xfId="1" builtinId="4"/>
    <cellStyle name="Normal" xfId="0" builtinId="0"/>
  </cellStyles>
  <dxfs count="135">
    <dxf>
      <fill>
        <patternFill>
          <bgColor rgb="FFFF0000"/>
        </patternFill>
      </fill>
    </dxf>
    <dxf>
      <fill>
        <patternFill>
          <fgColor auto="1"/>
          <bgColor rgb="FFFFFFAF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E2B7FF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rgb="FFE2B7FF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E2B7FF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fgColor auto="1"/>
          <bgColor rgb="FFFFFFAF"/>
        </patternFill>
      </fill>
    </dxf>
    <dxf>
      <fill>
        <patternFill>
          <bgColor theme="5" tint="0.59996337778862885"/>
        </patternFill>
      </fill>
    </dxf>
    <dxf>
      <fill>
        <patternFill>
          <bgColor rgb="FFE2B7FF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E2B7FF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E2B7FF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4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fgColor auto="1"/>
          <bgColor rgb="FFFFFFAF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7" tint="0.79998168889431442"/>
        </patternFill>
      </fill>
    </dxf>
    <dxf>
      <fill>
        <patternFill>
          <bgColor rgb="FFE2B7FF"/>
        </patternFill>
      </fill>
    </dxf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mruColors>
      <color rgb="FFE2B7FF"/>
      <color rgb="FFFFF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élio Henrique" refreshedDate="46302.662978356479" createdVersion="8" refreshedVersion="8" minRefreshableVersion="3" recordCount="259" xr:uid="{DC0C18F7-752E-44D7-981F-823B2B8F4F74}">
  <cacheSource type="worksheet">
    <worksheetSource ref="A19:AP278" sheet="BASES"/>
  </cacheSource>
  <cacheFields count="42">
    <cacheField name="NOME" numFmtId="49">
      <sharedItems/>
    </cacheField>
    <cacheField name="CCUSTO" numFmtId="49">
      <sharedItems count="16">
        <s v="CDHU - Ilha Solteira &quot;D&quot; 100 U.H."/>
        <s v="Coleta de Lixo Varzea Grande MT"/>
        <s v="CDHU - Piratininga &quot;E1&quot; 56 U.H."/>
        <s v="Embasa Lote 02 - Municipio de Guanambi BA"/>
        <s v="CDHU - Balbinos &quot;D&quot; 19 U.H."/>
        <s v="CDHU - Duartina &quot;E1&quot; &quot;E2&quot; 128 U.H."/>
        <s v="Oficina"/>
        <s v="CDHU - Bocaina &quot;H1&quot; &quot;H2&quot; 96 U.H."/>
        <s v="CDHU - Mirandopolis &quot;D&quot; 259 U.H."/>
        <s v="Financeiro"/>
        <s v="CDHU - Birigui &quot;D&quot; 143 U.H."/>
        <s v="BR-488 e 459 - Lorena/Piquete/Aparecida"/>
        <s v="CDHU - Sabino &quot;E1&quot; &quot;E2&quot; 190 U.H."/>
        <s v="Embasa Lote 02 - Municipio de Paramirim BA"/>
        <s v="BR-060/GO - Goiania GO"/>
        <s v="DER - Ipaussu"/>
      </sharedItems>
    </cacheField>
    <cacheField name="CODSITUACAO" numFmtId="49">
      <sharedItems/>
    </cacheField>
    <cacheField name="CODTIPO" numFmtId="49">
      <sharedItems/>
    </cacheField>
    <cacheField name="BASEFGTS" numFmtId="164">
      <sharedItems containsSemiMixedTypes="0" containsString="0" containsNumber="1" minValue="0" maxValue="10293.540000000001"/>
    </cacheField>
    <cacheField name="BASEFGTSAVPREVIO" numFmtId="164">
      <sharedItems containsSemiMixedTypes="0" containsString="0" containsNumber="1" minValue="0" maxValue="5161.33"/>
    </cacheField>
    <cacheField name="BASEFGTS13AVPREVIO" numFmtId="164">
      <sharedItems containsSemiMixedTypes="0" containsString="0" containsNumber="1" minValue="0" maxValue="370.25"/>
    </cacheField>
    <cacheField name="BASEFGTS13" numFmtId="164">
      <sharedItems containsSemiMixedTypes="0" containsString="0" containsNumber="1" minValue="0" maxValue="5361.96"/>
    </cacheField>
    <cacheField name="BASEFGTSDIFSAL" numFmtId="164">
      <sharedItems containsSemiMixedTypes="0" containsString="0" containsNumber="1" containsInteger="1" minValue="0" maxValue="0"/>
    </cacheField>
    <cacheField name="FGTS_MES" numFmtId="164">
      <sharedItems containsSemiMixedTypes="0" containsString="0" containsNumber="1" minValue="0" maxValue="823.48"/>
    </cacheField>
    <cacheField name="FGTS_AVISO" numFmtId="164">
      <sharedItems containsSemiMixedTypes="0" containsString="0" containsNumber="1" minValue="0" maxValue="412.91"/>
    </cacheField>
    <cacheField name="FGTS13_AVISO" numFmtId="164">
      <sharedItems containsSemiMixedTypes="0" containsString="0" containsNumber="1" minValue="0" maxValue="29.62"/>
    </cacheField>
    <cacheField name="FGTS13" numFmtId="164">
      <sharedItems containsSemiMixedTypes="0" containsString="0" containsNumber="1" minValue="0" maxValue="428.96"/>
    </cacheField>
    <cacheField name="FGTSDIF" numFmtId="164">
      <sharedItems containsSemiMixedTypes="0" containsString="0" containsNumber="1" containsInteger="1" minValue="0" maxValue="0"/>
    </cacheField>
    <cacheField name="BASEINSS" numFmtId="164">
      <sharedItems containsSemiMixedTypes="0" containsString="0" containsNumber="1" minValue="0" maxValue="10293.540000000001"/>
    </cacheField>
    <cacheField name="BASEINSS13" numFmtId="164">
      <sharedItems containsSemiMixedTypes="0" containsString="0" containsNumber="1" minValue="0" maxValue="5361.96"/>
    </cacheField>
    <cacheField name="BASE_INSS_AUTONOMO" numFmtId="164">
      <sharedItems containsSemiMixedTypes="0" containsString="0" containsNumber="1" containsInteger="1" minValue="0" maxValue="1300"/>
    </cacheField>
    <cacheField name="INSS" numFmtId="164">
      <sharedItems containsSemiMixedTypes="0" containsString="0" containsNumber="1" minValue="0" maxValue="988.07"/>
    </cacheField>
    <cacheField name="INSS13" numFmtId="164">
      <sharedItems containsSemiMixedTypes="0" containsString="0" containsNumber="1" minValue="0" maxValue="552.16999999999996"/>
    </cacheField>
    <cacheField name="INSSFERIAS" numFmtId="164">
      <sharedItems containsSemiMixedTypes="0" containsString="0" containsNumber="1" minValue="0" maxValue="409.4"/>
    </cacheField>
    <cacheField name="INSSDIFSAL" numFmtId="164">
      <sharedItems containsSemiMixedTypes="0" containsString="0" containsNumber="1" containsInteger="1" minValue="0" maxValue="0"/>
    </cacheField>
    <cacheField name="BASEIRRF" numFmtId="164">
      <sharedItems containsSemiMixedTypes="0" containsString="0" containsNumber="1" minValue="0" maxValue="10293.540000000001"/>
    </cacheField>
    <cacheField name="BASEIRRFFERIAS" numFmtId="164">
      <sharedItems containsSemiMixedTypes="0" containsString="0" containsNumber="1" minValue="0" maxValue="4340.16"/>
    </cacheField>
    <cacheField name="IRRF" numFmtId="164">
      <sharedItems containsSemiMixedTypes="0" containsString="0" containsNumber="1" minValue="0" maxValue="1650.27"/>
    </cacheField>
    <cacheField name="IRRF13" numFmtId="164">
      <sharedItems containsSemiMixedTypes="0" containsString="0" containsNumber="1" minValue="0" maxValue="99.35"/>
    </cacheField>
    <cacheField name="IRRFFERIAS" numFmtId="164">
      <sharedItems containsSemiMixedTypes="0" containsString="0" containsNumber="1" containsInteger="1" minValue="0" maxValue="0"/>
    </cacheField>
    <cacheField name="INSS RAT AJUSTADO" numFmtId="164">
      <sharedItems containsSemiMixedTypes="0" containsString="0" containsNumber="1" minValue="0" maxValue="382.7"/>
    </cacheField>
    <cacheField name="INSS EMPRESA" numFmtId="164">
      <sharedItems containsSemiMixedTypes="0" containsString="0" containsNumber="1" minValue="0" maxValue="2058.71"/>
    </cacheField>
    <cacheField name="INSS TERCEIROS" numFmtId="164">
      <sharedItems containsSemiMixedTypes="0" containsString="0" containsNumber="1" minValue="0" maxValue="597.03"/>
    </cacheField>
    <cacheField name="TOTAL GUIA" numFmtId="164">
      <sharedItems containsSemiMixedTypes="0" containsString="0" containsNumber="1" minValue="0" maxValue="4026.51"/>
    </cacheField>
    <cacheField name="COMPARA BASE FGTS" numFmtId="166">
      <sharedItems containsSemiMixedTypes="0" containsString="0" containsNumber="1" minValue="0" maxValue="13225.839999999998"/>
    </cacheField>
    <cacheField name="COMPARA VALOR FGTS" numFmtId="166">
      <sharedItems containsSemiMixedTypes="0" containsString="0" containsNumber="1" minValue="0" maxValue="1058.07"/>
    </cacheField>
    <cacheField name="Nome Trabalhador" numFmtId="0">
      <sharedItems containsBlank="1"/>
    </cacheField>
    <cacheField name="Base Remuneracao Total" numFmtId="0">
      <sharedItems containsString="0" containsBlank="1" containsNumber="1" minValue="71.33" maxValue="10293.540000000001"/>
    </cacheField>
    <cacheField name="Valor FGTS na Guia" numFmtId="0">
      <sharedItems containsString="0" containsBlank="1" containsNumber="1" minValue="5.33" maxValue="823.48"/>
    </cacheField>
    <cacheField name="COMPARA BASES INSS" numFmtId="166">
      <sharedItems containsSemiMixedTypes="0" containsString="0" containsNumber="1" containsInteger="1" minValue="0" maxValue="0"/>
    </cacheField>
    <cacheField name="COMPARA VALOR INSS" numFmtId="166">
      <sharedItems containsSemiMixedTypes="0" containsString="0" containsNumber="1" containsInteger="1" minValue="0" maxValue="0"/>
    </cacheField>
    <cacheField name="Nome2" numFmtId="0">
      <sharedItems containsBlank="1"/>
    </cacheField>
    <cacheField name="Governo - Base INSS" numFmtId="167">
      <sharedItems containsString="0" containsBlank="1" containsNumber="1" minValue="0.81" maxValue="10293.540000000001"/>
    </cacheField>
    <cacheField name="Governo - Valor INSS" numFmtId="167">
      <sharedItems containsString="0" containsBlank="1" containsNumber="1" minValue="0.06" maxValue="988.07"/>
    </cacheField>
    <cacheField name="Governo - Base INSS - 13° Salário" numFmtId="167">
      <sharedItems containsString="0" containsBlank="1" containsNumber="1" minValue="0" maxValue="5361.96"/>
    </cacheField>
    <cacheField name="Governo - Valor INSS - 13° Salário" numFmtId="167">
      <sharedItems containsString="0" containsBlank="1" containsNumber="1" minValue="0" maxValue="552.16999999999996"/>
    </cacheField>
  </cacheFields>
  <extLst>
    <ext xmlns:x14="http://schemas.microsoft.com/office/spreadsheetml/2009/9/main" uri="{725AE2AE-9491-48be-B2B4-4EB974FC3084}">
      <x14:pivotCacheDefinition/>
    </ext>
    <ext xmlns:xxpvi="http://schemas.microsoft.com/office/spreadsheetml/2022/pivotVersionInfo" uri="{9F748A41-CAEA-4470-BF7A-CE61E8FFA7F9}">
      <xxpvi:cacheVersionInfo>
        <xxpvi:lastRefreshFeature>Autorefresh</xxpvi:lastRefreshFeature>
      </xxpvi:cacheVersionInfo>
    </ext>
    <ext xmlns:xlpar="http://schemas.microsoft.com/office/spreadsheetml/2024/pivotAutoRefresh" uri="{DA1E1B2C-A1EE-400B-A0BD-712935E3C959}">
      <xlpar:autoRefresh>1</xlpar:autoRefresh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">
  <r>
    <s v="ABNER DAVID MIRANDA CARDOSO"/>
    <x v="0"/>
    <s v="A"/>
    <s v="N"/>
    <n v="2354.0100000000002"/>
    <n v="0"/>
    <n v="0"/>
    <n v="0"/>
    <n v="0"/>
    <n v="188.32"/>
    <n v="0"/>
    <n v="0"/>
    <n v="0"/>
    <n v="0"/>
    <n v="2354.0100000000002"/>
    <n v="0"/>
    <n v="0"/>
    <n v="187.54"/>
    <n v="0"/>
    <n v="0"/>
    <n v="0"/>
    <n v="2354.0100000000002"/>
    <n v="0"/>
    <n v="0"/>
    <n v="0"/>
    <n v="0"/>
    <n v="87.52"/>
    <n v="470.8"/>
    <n v="136.53"/>
    <n v="882.39"/>
    <n v="0"/>
    <n v="0"/>
    <s v="ABNER DAVID MIRANDA CARDOSO"/>
    <n v="2354.0100000000002"/>
    <n v="188.32"/>
    <n v="0"/>
    <n v="0"/>
    <s v="ABNER DAVID MIRANDA CARDOSO"/>
    <n v="2354.0100000000002"/>
    <n v="187.54"/>
    <n v="0"/>
    <n v="0"/>
  </r>
  <r>
    <s v="ADEMAR DE JESUS"/>
    <x v="1"/>
    <s v="A"/>
    <s v="N"/>
    <n v="3702.68"/>
    <n v="0"/>
    <n v="0"/>
    <n v="0"/>
    <n v="0"/>
    <n v="296.20999999999998"/>
    <n v="0"/>
    <n v="0"/>
    <n v="0"/>
    <n v="0"/>
    <n v="3702.68"/>
    <n v="0"/>
    <n v="0"/>
    <n v="332.91"/>
    <n v="0"/>
    <n v="0"/>
    <n v="0"/>
    <n v="3702.68"/>
    <n v="0"/>
    <n v="0"/>
    <n v="0"/>
    <n v="0"/>
    <n v="137.66"/>
    <n v="740.54"/>
    <n v="214.76"/>
    <n v="1425.86"/>
    <n v="0"/>
    <n v="0"/>
    <s v="ADEMAR DE JESUS"/>
    <n v="3702.68"/>
    <n v="296.20999999999998"/>
    <n v="0"/>
    <n v="0"/>
    <s v="ADEMAR DE JESUS"/>
    <n v="3702.68"/>
    <n v="332.91"/>
    <n v="0"/>
    <n v="0"/>
  </r>
  <r>
    <s v="ADILSON GABRIEL DIAS FERREIRA MIRANDA"/>
    <x v="1"/>
    <s v="A"/>
    <s v="N"/>
    <n v="3716.01"/>
    <n v="0"/>
    <n v="0"/>
    <n v="0"/>
    <n v="0"/>
    <n v="297.27999999999997"/>
    <n v="0"/>
    <n v="0"/>
    <n v="0"/>
    <n v="0"/>
    <n v="3716.01"/>
    <n v="0"/>
    <n v="0"/>
    <n v="334.51"/>
    <n v="0"/>
    <n v="0"/>
    <n v="0"/>
    <n v="3716.01"/>
    <n v="0"/>
    <n v="0"/>
    <n v="0"/>
    <n v="0"/>
    <n v="138.16"/>
    <n v="743.2"/>
    <n v="215.53"/>
    <n v="1431.4"/>
    <n v="0"/>
    <n v="0"/>
    <s v="ADILSON GABRIEL DIAS FERREIRA MIRANDA"/>
    <n v="3716.01"/>
    <n v="297.27999999999997"/>
    <n v="0"/>
    <n v="0"/>
    <s v="ADILSON GABRIEL DIAS FERREIRA MIRANDA"/>
    <n v="3716.01"/>
    <n v="334.51"/>
    <n v="0"/>
    <n v="0"/>
  </r>
  <r>
    <s v="ADRIANO FERREIRA"/>
    <x v="2"/>
    <s v="A"/>
    <s v="N"/>
    <n v="1839.59"/>
    <n v="0"/>
    <n v="0"/>
    <n v="0"/>
    <n v="0"/>
    <n v="147.16999999999999"/>
    <n v="0"/>
    <n v="0"/>
    <n v="0"/>
    <n v="0"/>
    <n v="1839.59"/>
    <n v="0"/>
    <n v="0"/>
    <n v="141.24"/>
    <n v="0"/>
    <n v="0"/>
    <n v="0"/>
    <n v="1839.59"/>
    <n v="0"/>
    <n v="0"/>
    <n v="0"/>
    <n v="0"/>
    <n v="68.39"/>
    <n v="367.92"/>
    <n v="106.7"/>
    <n v="684.25"/>
    <n v="0"/>
    <n v="9.9999999999909051E-3"/>
    <s v="ADRIANO FERREIRA"/>
    <n v="1839.59"/>
    <n v="147.16"/>
    <n v="0"/>
    <n v="0"/>
    <s v="ADRIANO FERREIRA"/>
    <n v="1839.59"/>
    <n v="141.24"/>
    <n v="0"/>
    <n v="0"/>
  </r>
  <r>
    <s v="AGNALDO GUIMARAES"/>
    <x v="1"/>
    <s v="A"/>
    <s v="N"/>
    <n v="3869.42"/>
    <n v="0"/>
    <n v="0"/>
    <n v="0"/>
    <n v="0"/>
    <n v="309.55"/>
    <n v="0"/>
    <n v="0"/>
    <n v="0"/>
    <n v="0"/>
    <n v="3869.42"/>
    <n v="0"/>
    <n v="0"/>
    <n v="352.91"/>
    <n v="0"/>
    <n v="0"/>
    <n v="0"/>
    <n v="3869.42"/>
    <n v="0"/>
    <n v="0"/>
    <n v="0"/>
    <n v="0"/>
    <n v="143.86000000000001"/>
    <n v="773.88"/>
    <n v="224.43"/>
    <n v="1495.08"/>
    <n v="0"/>
    <n v="0"/>
    <s v="AGNALDO GUIMARAES"/>
    <n v="3869.42"/>
    <n v="309.55"/>
    <n v="0"/>
    <n v="0"/>
    <s v="AGNALDO GUIMARAES"/>
    <n v="3869.42"/>
    <n v="352.91"/>
    <n v="0"/>
    <n v="0"/>
  </r>
  <r>
    <s v="AGNALDO NORBERTO DA SILVA"/>
    <x v="1"/>
    <s v="A"/>
    <s v="N"/>
    <n v="6768.67"/>
    <n v="0"/>
    <n v="0"/>
    <n v="0"/>
    <n v="0"/>
    <n v="541.49"/>
    <n v="0"/>
    <n v="0"/>
    <n v="0"/>
    <n v="0"/>
    <n v="6768.67"/>
    <n v="0"/>
    <n v="0"/>
    <n v="749.11"/>
    <n v="0"/>
    <n v="0"/>
    <n v="0"/>
    <n v="6768.67"/>
    <n v="0"/>
    <n v="669.24"/>
    <n v="0"/>
    <n v="0"/>
    <n v="251.65"/>
    <n v="1353.73"/>
    <n v="392.58"/>
    <n v="2747.08"/>
    <n v="0"/>
    <n v="0"/>
    <s v="AGNALDO NORBETO DA SILVA"/>
    <n v="6768.67"/>
    <n v="541.49"/>
    <n v="0"/>
    <n v="0"/>
    <s v="AGNALDO NORBETO DA SILVA"/>
    <n v="6768.67"/>
    <n v="749.11"/>
    <n v="0"/>
    <n v="0"/>
  </r>
  <r>
    <s v="AGRICOLA DIAS DA SILVA JUNIOR"/>
    <x v="1"/>
    <s v="A"/>
    <s v="N"/>
    <n v="5183.0600000000004"/>
    <n v="0"/>
    <n v="0"/>
    <n v="0"/>
    <n v="0"/>
    <n v="414.64"/>
    <n v="0"/>
    <n v="0"/>
    <n v="0"/>
    <n v="0"/>
    <n v="5183.0600000000004"/>
    <n v="0"/>
    <n v="0"/>
    <n v="527.13"/>
    <n v="0"/>
    <n v="0"/>
    <n v="0"/>
    <n v="5183.0600000000004"/>
    <n v="0"/>
    <n v="65.55"/>
    <n v="0"/>
    <n v="0"/>
    <n v="192.7"/>
    <n v="1036.6099999999999"/>
    <n v="300.62"/>
    <n v="2057.06"/>
    <n v="0"/>
    <n v="0"/>
    <s v="AGRICOLA DIAS DA SILVA JUNIOR"/>
    <n v="5183.0600000000004"/>
    <n v="414.64"/>
    <n v="0"/>
    <n v="0"/>
    <s v="AGRICOLA DIAS DA SILVA JUNIOR"/>
    <n v="5183.0600000000004"/>
    <n v="527.13"/>
    <n v="0"/>
    <n v="0"/>
  </r>
  <r>
    <s v="ALESSANDRO PASSOS BARROS"/>
    <x v="1"/>
    <s v="A"/>
    <s v="N"/>
    <n v="3984.86"/>
    <n v="0"/>
    <n v="0"/>
    <n v="0"/>
    <n v="0"/>
    <n v="318.79000000000002"/>
    <n v="0"/>
    <n v="0"/>
    <n v="0"/>
    <n v="0"/>
    <n v="3984.86"/>
    <n v="0"/>
    <n v="0"/>
    <n v="366.77"/>
    <n v="0"/>
    <n v="0"/>
    <n v="0"/>
    <n v="3984.86"/>
    <n v="0"/>
    <n v="0"/>
    <n v="0"/>
    <n v="0"/>
    <n v="148.15"/>
    <n v="796.97"/>
    <n v="231.12"/>
    <n v="1543.02"/>
    <n v="0"/>
    <n v="1.0000000000047748E-2"/>
    <s v="ALESSANDRO PASSOS BARROS"/>
    <n v="3984.86"/>
    <n v="318.77999999999997"/>
    <n v="0"/>
    <n v="0"/>
    <s v="ALESSANDRO PASSOS BARROS"/>
    <n v="3984.86"/>
    <n v="366.77"/>
    <n v="0"/>
    <n v="0"/>
  </r>
  <r>
    <s v="ALEX MATHEUS TAVARES CORREA"/>
    <x v="1"/>
    <s v="A"/>
    <s v="N"/>
    <n v="3045.47"/>
    <n v="0"/>
    <n v="0"/>
    <n v="0"/>
    <n v="0"/>
    <n v="243.64"/>
    <n v="0"/>
    <n v="0"/>
    <n v="0"/>
    <n v="0"/>
    <n v="3045.47"/>
    <n v="0"/>
    <n v="0"/>
    <n v="254.04"/>
    <n v="0"/>
    <n v="0"/>
    <n v="0"/>
    <n v="3045.47"/>
    <n v="0"/>
    <n v="0"/>
    <n v="0"/>
    <n v="0"/>
    <n v="113.23"/>
    <n v="609.09"/>
    <n v="176.64"/>
    <n v="1153"/>
    <n v="0"/>
    <n v="9.9999999999909051E-3"/>
    <s v="ALEX MATHEUS TAVARES CORREA"/>
    <n v="3045.47"/>
    <n v="243.63"/>
    <n v="0"/>
    <n v="0"/>
    <s v="ALEX MATHEUS TAVARES CORREA"/>
    <n v="3045.47"/>
    <n v="254.04"/>
    <n v="0"/>
    <n v="0"/>
  </r>
  <r>
    <s v="ALEXANDRE FERNANDO RAMOS VIANA"/>
    <x v="3"/>
    <s v="A"/>
    <s v="A"/>
    <n v="0"/>
    <n v="0"/>
    <n v="0"/>
    <n v="0"/>
    <n v="0"/>
    <n v="0"/>
    <n v="0"/>
    <n v="0"/>
    <n v="0"/>
    <n v="0"/>
    <n v="0"/>
    <n v="0"/>
    <n v="1300"/>
    <n v="0"/>
    <n v="0"/>
    <n v="0"/>
    <n v="0"/>
    <n v="1300"/>
    <n v="0"/>
    <n v="0"/>
    <n v="0"/>
    <n v="0"/>
    <n v="0"/>
    <n v="0"/>
    <n v="0"/>
    <n v="0"/>
    <n v="0"/>
    <n v="0"/>
    <m/>
    <m/>
    <m/>
    <n v="0"/>
    <n v="0"/>
    <m/>
    <m/>
    <m/>
    <m/>
    <m/>
  </r>
  <r>
    <s v="ALLAN PETERSON RODRIGUES DE FREITAS"/>
    <x v="1"/>
    <s v="A"/>
    <s v="N"/>
    <n v="6876.33"/>
    <n v="0"/>
    <n v="0"/>
    <n v="0"/>
    <n v="0"/>
    <n v="550.11"/>
    <n v="0"/>
    <n v="0"/>
    <n v="0"/>
    <n v="0"/>
    <n v="6876.33"/>
    <n v="0"/>
    <n v="0"/>
    <n v="764.18"/>
    <n v="0"/>
    <n v="0"/>
    <n v="0"/>
    <n v="6876.33"/>
    <n v="0"/>
    <n v="709.04"/>
    <n v="0"/>
    <n v="0"/>
    <n v="255.66"/>
    <n v="1375.27"/>
    <n v="398.83"/>
    <n v="2793.93"/>
    <n v="0"/>
    <n v="9.9999999999909051E-3"/>
    <s v="ALLAN PETERSON RODRIGUES DE FREITAS"/>
    <n v="6876.33"/>
    <n v="550.1"/>
    <n v="0"/>
    <n v="0"/>
    <s v="ALLAN PETERSON RODRIGUES DE FREITAS"/>
    <n v="6876.33"/>
    <n v="764.18"/>
    <n v="0"/>
    <n v="0"/>
  </r>
  <r>
    <s v="ALTEVI JUARI PEREIRA"/>
    <x v="1"/>
    <s v="A"/>
    <s v="N"/>
    <n v="5730.19"/>
    <n v="0"/>
    <n v="0"/>
    <n v="0"/>
    <n v="0"/>
    <n v="458.42"/>
    <n v="0"/>
    <n v="0"/>
    <n v="0"/>
    <n v="0"/>
    <n v="5730.19"/>
    <n v="0"/>
    <n v="0"/>
    <n v="603.72"/>
    <n v="0"/>
    <n v="0"/>
    <n v="0"/>
    <n v="5730.19"/>
    <n v="0"/>
    <n v="284.41000000000003"/>
    <n v="0"/>
    <n v="0"/>
    <n v="213.04"/>
    <n v="1146.04"/>
    <n v="332.35"/>
    <n v="2295.15"/>
    <n v="0"/>
    <n v="9.9999999999909051E-3"/>
    <s v="ALTEVI JUARI PEREIRA"/>
    <n v="5730.19"/>
    <n v="458.41"/>
    <n v="0"/>
    <n v="0"/>
    <s v="ALTEVI JUARI PEREIRA"/>
    <n v="5730.19"/>
    <n v="603.72"/>
    <n v="0"/>
    <n v="0"/>
  </r>
  <r>
    <s v="ALVARO RUPPENTHAL"/>
    <x v="1"/>
    <s v="D"/>
    <s v="N"/>
    <n v="576.08000000000004"/>
    <n v="0"/>
    <n v="0"/>
    <n v="1801.08"/>
    <n v="0"/>
    <n v="46.09"/>
    <n v="0"/>
    <n v="0"/>
    <n v="144.09"/>
    <n v="0"/>
    <n v="576.08000000000004"/>
    <n v="1801.08"/>
    <n v="0"/>
    <n v="43.2"/>
    <n v="137.77000000000001"/>
    <n v="0"/>
    <n v="0"/>
    <n v="576.08000000000004"/>
    <n v="0"/>
    <n v="0"/>
    <n v="0"/>
    <n v="0"/>
    <n v="88.38"/>
    <n v="475.43"/>
    <n v="137.88"/>
    <n v="882.66"/>
    <n v="2377.16"/>
    <n v="190.18"/>
    <m/>
    <m/>
    <m/>
    <n v="0"/>
    <n v="0"/>
    <s v="ALVARO RUPPENTHAL"/>
    <n v="576.08000000000004"/>
    <n v="43.2"/>
    <n v="1801.08"/>
    <n v="137.77000000000001"/>
  </r>
  <r>
    <s v="ALYSON CAVALCANTE DO CARMO"/>
    <x v="4"/>
    <s v="A"/>
    <s v="N"/>
    <n v="784.67"/>
    <n v="0"/>
    <n v="0"/>
    <n v="0"/>
    <n v="0"/>
    <n v="62.77"/>
    <n v="0"/>
    <n v="0"/>
    <n v="0"/>
    <n v="0"/>
    <n v="784.67"/>
    <n v="0"/>
    <n v="0"/>
    <n v="58.85"/>
    <n v="0"/>
    <n v="0"/>
    <n v="0"/>
    <n v="784.67"/>
    <n v="0"/>
    <n v="0"/>
    <n v="0"/>
    <n v="0"/>
    <n v="29.17"/>
    <n v="156.93"/>
    <n v="45.51"/>
    <n v="290.47000000000003"/>
    <n v="0"/>
    <n v="0"/>
    <s v="ALYSON CAVALCANTE DO CARMO"/>
    <n v="784.67"/>
    <n v="62.77"/>
    <n v="0"/>
    <n v="0"/>
    <s v="ALYSON CAVALCANTE DO CARMO"/>
    <n v="784.67"/>
    <n v="58.85"/>
    <n v="0"/>
    <n v="0"/>
  </r>
  <r>
    <s v="ANA LAURA SILVA SOARES"/>
    <x v="0"/>
    <s v="A"/>
    <s v="N"/>
    <n v="2839.05"/>
    <n v="0"/>
    <n v="0"/>
    <n v="0"/>
    <n v="0"/>
    <n v="227.12"/>
    <n v="0"/>
    <n v="0"/>
    <n v="0"/>
    <n v="0"/>
    <n v="2839.05"/>
    <n v="0"/>
    <n v="0"/>
    <n v="231.19"/>
    <n v="0"/>
    <n v="0"/>
    <n v="0"/>
    <n v="2839.05"/>
    <n v="0"/>
    <n v="0"/>
    <n v="0"/>
    <n v="0"/>
    <n v="105.55"/>
    <n v="567.80999999999995"/>
    <n v="164.66"/>
    <n v="1069.22"/>
    <n v="0"/>
    <n v="0"/>
    <s v="ANA LAURA SILVA SOARES"/>
    <n v="2839.05"/>
    <n v="227.12"/>
    <n v="0"/>
    <n v="0"/>
    <s v="ANA LAURA SILVA SOARES"/>
    <n v="2839.05"/>
    <n v="231.19"/>
    <n v="0"/>
    <n v="0"/>
  </r>
  <r>
    <s v="ANDERSON DA CONCEIÇÃO SANTOS"/>
    <x v="5"/>
    <s v="A"/>
    <s v="N"/>
    <n v="2945.87"/>
    <n v="0"/>
    <n v="0"/>
    <n v="0"/>
    <n v="0"/>
    <n v="235.67"/>
    <n v="0"/>
    <n v="0"/>
    <n v="0"/>
    <n v="0"/>
    <n v="2945.87"/>
    <n v="0"/>
    <n v="0"/>
    <n v="242.09"/>
    <n v="0"/>
    <n v="0"/>
    <n v="0"/>
    <n v="2945.87"/>
    <n v="0"/>
    <n v="0"/>
    <n v="0"/>
    <n v="0"/>
    <n v="109.52"/>
    <n v="589.16999999999996"/>
    <n v="170.86"/>
    <n v="1111.6500000000001"/>
    <n v="0"/>
    <n v="9.9999999999909051E-3"/>
    <s v="ANDERSON DA CONCEICAO SANTOS"/>
    <n v="2945.87"/>
    <n v="235.66"/>
    <n v="0"/>
    <n v="0"/>
    <s v="ANDERSON DA CONCEICAO SANTOS"/>
    <n v="2945.87"/>
    <n v="242.09"/>
    <n v="0"/>
    <n v="0"/>
  </r>
  <r>
    <s v="ANDERSON JOSE CONOTO LANDER"/>
    <x v="1"/>
    <s v="A"/>
    <s v="N"/>
    <n v="3571.75"/>
    <n v="0"/>
    <n v="0"/>
    <n v="0"/>
    <n v="0"/>
    <n v="285.74"/>
    <n v="0"/>
    <n v="0"/>
    <n v="0"/>
    <n v="0"/>
    <n v="3571.75"/>
    <n v="0"/>
    <n v="0"/>
    <n v="317.19"/>
    <n v="0"/>
    <n v="0"/>
    <n v="0"/>
    <n v="3571.75"/>
    <n v="0"/>
    <n v="0"/>
    <n v="0"/>
    <n v="0"/>
    <n v="132.79"/>
    <n v="714.35"/>
    <n v="207.16"/>
    <n v="1371.5"/>
    <n v="0"/>
    <n v="0"/>
    <s v="ANDERSON JOSE CONOTO LANDER"/>
    <n v="3571.75"/>
    <n v="285.74"/>
    <n v="0"/>
    <n v="0"/>
    <s v="ANDERSON JOSE CONOTO LANDER"/>
    <n v="3571.75"/>
    <n v="317.19"/>
    <n v="0"/>
    <n v="0"/>
  </r>
  <r>
    <s v="ANDERSON NEVES FERREIRA"/>
    <x v="1"/>
    <s v="A"/>
    <s v="N"/>
    <n v="6411.17"/>
    <n v="0"/>
    <n v="0"/>
    <n v="0"/>
    <n v="0"/>
    <n v="512.89"/>
    <n v="0"/>
    <n v="0"/>
    <n v="0"/>
    <n v="0"/>
    <n v="6411.17"/>
    <n v="0"/>
    <n v="0"/>
    <n v="699.06"/>
    <n v="0"/>
    <n v="0"/>
    <n v="0"/>
    <n v="6411.17"/>
    <n v="0"/>
    <n v="537.09"/>
    <n v="0"/>
    <n v="0"/>
    <n v="238.36"/>
    <n v="1282.23"/>
    <n v="371.85"/>
    <n v="2591.5"/>
    <n v="0"/>
    <n v="0"/>
    <s v="ANDERSON NEVES FERREIRA"/>
    <n v="6411.17"/>
    <n v="512.89"/>
    <n v="0"/>
    <n v="0"/>
    <s v="ANDERSON NEVES FERREIRA"/>
    <n v="6411.17"/>
    <n v="699.06"/>
    <n v="0"/>
    <n v="0"/>
  </r>
  <r>
    <s v="ANDRE HENRIQUE SANTOS DE PAULA"/>
    <x v="1"/>
    <s v="A"/>
    <s v="N"/>
    <n v="3437.75"/>
    <n v="0"/>
    <n v="0"/>
    <n v="0"/>
    <n v="0"/>
    <n v="275.02"/>
    <n v="0"/>
    <n v="0"/>
    <n v="0"/>
    <n v="0"/>
    <n v="3437.75"/>
    <n v="0"/>
    <n v="0"/>
    <n v="301.11"/>
    <n v="0"/>
    <n v="0"/>
    <n v="0"/>
    <n v="3437.75"/>
    <n v="0"/>
    <n v="0"/>
    <n v="0"/>
    <n v="0"/>
    <n v="127.81"/>
    <n v="687.55"/>
    <n v="199.39"/>
    <n v="1315.86"/>
    <n v="0"/>
    <n v="0"/>
    <s v="ANDRE HENRIQUE SANTOS DE PAULA"/>
    <n v="3437.75"/>
    <n v="275.02"/>
    <n v="0"/>
    <n v="0"/>
    <s v="ANDRE HENRIQUE SANTOS DE PAULA"/>
    <n v="3437.75"/>
    <n v="301.11"/>
    <n v="0"/>
    <n v="0"/>
  </r>
  <r>
    <s v="ANTONIO MARCOS DE PAULA LINO"/>
    <x v="6"/>
    <s v="D"/>
    <s v="N"/>
    <n v="5834.26"/>
    <n v="5161.33"/>
    <n v="367.38"/>
    <n v="1836.9"/>
    <n v="0"/>
    <n v="466.74"/>
    <n v="412.91"/>
    <n v="29.39"/>
    <n v="146.94999999999999"/>
    <n v="0"/>
    <n v="5834.26"/>
    <n v="2204.2800000000002"/>
    <n v="0"/>
    <n v="618.29"/>
    <n v="174.06"/>
    <n v="0"/>
    <n v="0"/>
    <n v="5834.26"/>
    <n v="0"/>
    <n v="323.83999999999997"/>
    <n v="0"/>
    <n v="0"/>
    <n v="298.86"/>
    <n v="1607.71"/>
    <n v="466.24"/>
    <n v="3165.16"/>
    <n v="13199.869999999999"/>
    <n v="1055.99"/>
    <m/>
    <m/>
    <m/>
    <n v="0"/>
    <n v="0"/>
    <s v="ANTONIO MARCOS DE PAULA LINO"/>
    <n v="5834.26"/>
    <n v="618.29"/>
    <n v="2204.2800000000002"/>
    <n v="174.06"/>
  </r>
  <r>
    <s v="ANTONIO MARTINS DA SILVA"/>
    <x v="1"/>
    <s v="A"/>
    <s v="N"/>
    <n v="3781.66"/>
    <n v="0"/>
    <n v="0"/>
    <n v="0"/>
    <n v="0"/>
    <n v="302.52999999999997"/>
    <n v="0"/>
    <n v="0"/>
    <n v="0"/>
    <n v="0"/>
    <n v="3781.66"/>
    <n v="0"/>
    <n v="0"/>
    <n v="342.38"/>
    <n v="0"/>
    <n v="0"/>
    <n v="0"/>
    <n v="3781.66"/>
    <n v="0"/>
    <n v="0"/>
    <n v="0"/>
    <n v="0"/>
    <n v="140.6"/>
    <n v="756.33"/>
    <n v="219.34"/>
    <n v="1458.65"/>
    <n v="0"/>
    <n v="0"/>
    <s v="ANTONIO MARTINS DA SILVA"/>
    <n v="3781.66"/>
    <n v="302.52999999999997"/>
    <n v="0"/>
    <n v="0"/>
    <s v="ANTONIO MARTINS DA SILVA"/>
    <n v="3781.66"/>
    <n v="342.38"/>
    <n v="0"/>
    <n v="0"/>
  </r>
  <r>
    <s v="ANTONIO MENDES DA LUZ"/>
    <x v="1"/>
    <s v="A"/>
    <s v="N"/>
    <n v="3396.76"/>
    <n v="0"/>
    <n v="0"/>
    <n v="0"/>
    <n v="0"/>
    <n v="271.74"/>
    <n v="0"/>
    <n v="0"/>
    <n v="0"/>
    <n v="0"/>
    <n v="3396.76"/>
    <n v="0"/>
    <n v="0"/>
    <n v="296.2"/>
    <n v="0"/>
    <n v="0"/>
    <n v="0"/>
    <n v="3396.76"/>
    <n v="0"/>
    <n v="0"/>
    <n v="0"/>
    <n v="0"/>
    <n v="126.29"/>
    <n v="679.35"/>
    <n v="197.01"/>
    <n v="1298.8499999999999"/>
    <n v="0"/>
    <n v="0"/>
    <s v="ANTONIO MENDES DA LUZ"/>
    <n v="3396.76"/>
    <n v="271.74"/>
    <n v="0"/>
    <n v="0"/>
    <s v="ANTONIO MENDES DA LUZ"/>
    <n v="3396.76"/>
    <n v="296.2"/>
    <n v="0"/>
    <n v="0"/>
  </r>
  <r>
    <s v="ANTONIO ROBERTO DE SOUZA"/>
    <x v="7"/>
    <s v="A"/>
    <s v="N"/>
    <n v="3169.1"/>
    <n v="0"/>
    <n v="0"/>
    <n v="0"/>
    <n v="0"/>
    <n v="253.53"/>
    <n v="0"/>
    <n v="0"/>
    <n v="0"/>
    <n v="0"/>
    <n v="3169.1"/>
    <n v="0"/>
    <n v="0"/>
    <n v="268.88"/>
    <n v="0"/>
    <n v="0"/>
    <n v="0"/>
    <n v="3169.1"/>
    <n v="0"/>
    <n v="0"/>
    <n v="0"/>
    <n v="0"/>
    <n v="117.82"/>
    <n v="633.82000000000005"/>
    <n v="183.81"/>
    <n v="1204.33"/>
    <n v="0"/>
    <n v="9.9999999999909051E-3"/>
    <s v="ANTONIO ROBERTO DE SOUZA"/>
    <n v="3169.1"/>
    <n v="253.52"/>
    <n v="0"/>
    <n v="0"/>
    <s v="ANTONIO ROBERTO DE SOUZA"/>
    <n v="3169.1"/>
    <n v="268.88"/>
    <n v="0"/>
    <n v="0"/>
  </r>
  <r>
    <s v="APARECIDO LUIZ BENITTE CANHADA"/>
    <x v="8"/>
    <s v="P"/>
    <s v="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m/>
    <m/>
    <m/>
    <m/>
    <m/>
  </r>
  <r>
    <s v="ARIANO JOSE CONCEICAO DE SOUZA"/>
    <x v="1"/>
    <s v="A"/>
    <s v="N"/>
    <n v="3283.12"/>
    <n v="0"/>
    <n v="0"/>
    <n v="0"/>
    <n v="0"/>
    <n v="262.64999999999998"/>
    <n v="0"/>
    <n v="0"/>
    <n v="0"/>
    <n v="0"/>
    <n v="3283.12"/>
    <n v="0"/>
    <n v="0"/>
    <n v="282.56"/>
    <n v="0"/>
    <n v="0"/>
    <n v="0"/>
    <n v="3283.12"/>
    <n v="0"/>
    <n v="0"/>
    <n v="0"/>
    <n v="0"/>
    <n v="122.06"/>
    <n v="656.62"/>
    <n v="190.42"/>
    <n v="1251.67"/>
    <n v="0"/>
    <n v="9.9999999999909051E-3"/>
    <s v="ARIANO JOSE CONCEICAO DE SOUZA"/>
    <n v="3283.12"/>
    <n v="262.64"/>
    <n v="0"/>
    <n v="0"/>
    <s v="ARIANO JOSE CONCEICAO DE SOUZA"/>
    <n v="3283.12"/>
    <n v="282.56"/>
    <n v="0"/>
    <n v="0"/>
  </r>
  <r>
    <s v="ARLINE MORAES DA SILVA"/>
    <x v="1"/>
    <s v="A"/>
    <s v="N"/>
    <n v="2234.65"/>
    <n v="0"/>
    <n v="0"/>
    <n v="0"/>
    <n v="0"/>
    <n v="178.77"/>
    <n v="0"/>
    <n v="0"/>
    <n v="0"/>
    <n v="0"/>
    <n v="2234.65"/>
    <n v="0"/>
    <n v="0"/>
    <n v="176.79"/>
    <n v="0"/>
    <n v="0"/>
    <n v="0"/>
    <n v="2234.65"/>
    <n v="0"/>
    <n v="0"/>
    <n v="0"/>
    <n v="0"/>
    <n v="83.08"/>
    <n v="446.93"/>
    <n v="129.61000000000001"/>
    <n v="836.41"/>
    <n v="0"/>
    <n v="0"/>
    <s v="ARLINE MORAES DA SILVA"/>
    <n v="2234.65"/>
    <n v="178.77"/>
    <n v="0"/>
    <n v="0"/>
    <s v="ARLINE MORAES DA SILVA"/>
    <n v="2234.65"/>
    <n v="176.79"/>
    <n v="0"/>
    <n v="0"/>
  </r>
  <r>
    <s v="ARNALDO FERREIRA DE MELO"/>
    <x v="1"/>
    <s v="D"/>
    <s v="N"/>
    <n v="196.83"/>
    <n v="0"/>
    <n v="0"/>
    <n v="0"/>
    <n v="0"/>
    <n v="15.75"/>
    <n v="0"/>
    <n v="0"/>
    <n v="0"/>
    <n v="0"/>
    <n v="196.83"/>
    <n v="0"/>
    <n v="0"/>
    <n v="14.76"/>
    <n v="0"/>
    <n v="0"/>
    <n v="0"/>
    <n v="196.83"/>
    <n v="0"/>
    <n v="0"/>
    <n v="0"/>
    <n v="0"/>
    <n v="7.32"/>
    <n v="39.369999999999997"/>
    <n v="11.42"/>
    <n v="72.86"/>
    <n v="0"/>
    <n v="9.9999999999997868E-3"/>
    <s v="ARNALDO FERREIRA DE MELO"/>
    <n v="196.83"/>
    <n v="15.74"/>
    <n v="0"/>
    <n v="0"/>
    <s v="ARNALDO FERREIRA DE MELO"/>
    <n v="196.83"/>
    <n v="14.76"/>
    <n v="0"/>
    <n v="0"/>
  </r>
  <r>
    <s v="BENEDITO PALOCO"/>
    <x v="2"/>
    <s v="A"/>
    <s v="N"/>
    <n v="2724.57"/>
    <n v="0"/>
    <n v="0"/>
    <n v="0"/>
    <n v="0"/>
    <n v="217.97"/>
    <n v="0"/>
    <n v="0"/>
    <n v="0"/>
    <n v="0"/>
    <n v="2724.57"/>
    <n v="0"/>
    <n v="0"/>
    <n v="220.89"/>
    <n v="0"/>
    <n v="0"/>
    <n v="0"/>
    <n v="2724.57"/>
    <n v="0"/>
    <n v="0"/>
    <n v="0"/>
    <n v="0"/>
    <n v="101.3"/>
    <n v="544.91"/>
    <n v="158.03"/>
    <n v="1025.1300000000001"/>
    <n v="0"/>
    <n v="9.9999999999909051E-3"/>
    <s v="BENEDITO PALOCO"/>
    <n v="2724.57"/>
    <n v="217.96"/>
    <n v="0"/>
    <n v="0"/>
    <s v="BENEDITO PALOCO"/>
    <n v="2724.57"/>
    <n v="220.89"/>
    <n v="0"/>
    <n v="0"/>
  </r>
  <r>
    <s v="BENTO PEREIRA AMADO"/>
    <x v="8"/>
    <s v="D"/>
    <s v="N"/>
    <n v="2396.23"/>
    <n v="293.32"/>
    <n v="0"/>
    <n v="2214.34"/>
    <n v="0"/>
    <n v="191.7"/>
    <n v="23.47"/>
    <n v="0"/>
    <n v="177.15"/>
    <n v="0"/>
    <n v="2396.23"/>
    <n v="2214.34"/>
    <n v="0"/>
    <n v="191.34"/>
    <n v="174.97"/>
    <n v="0"/>
    <n v="0"/>
    <n v="2396.23"/>
    <n v="0"/>
    <n v="0"/>
    <n v="0"/>
    <n v="0"/>
    <n v="171.42"/>
    <n v="922.11"/>
    <n v="267.41000000000003"/>
    <n v="1727.25"/>
    <n v="4903.8900000000003"/>
    <n v="392.32"/>
    <m/>
    <m/>
    <m/>
    <n v="0"/>
    <n v="0"/>
    <s v="BENTO PEREIRA AMADO"/>
    <n v="2396.23"/>
    <n v="191.34"/>
    <n v="2214.34"/>
    <n v="174.97"/>
  </r>
  <r>
    <s v="BIBIANO ANASTACIO DE PAULA"/>
    <x v="1"/>
    <s v="A"/>
    <s v="N"/>
    <n v="3805.54"/>
    <n v="0"/>
    <n v="0"/>
    <n v="0"/>
    <n v="0"/>
    <n v="304.44"/>
    <n v="0"/>
    <n v="0"/>
    <n v="0"/>
    <n v="0"/>
    <n v="3805.54"/>
    <n v="0"/>
    <n v="0"/>
    <n v="345.25"/>
    <n v="0"/>
    <n v="0"/>
    <n v="0"/>
    <n v="3805.54"/>
    <n v="0"/>
    <n v="0"/>
    <n v="0"/>
    <n v="0"/>
    <n v="141.49"/>
    <n v="761.11"/>
    <n v="220.72"/>
    <n v="1468.57"/>
    <n v="0"/>
    <n v="0"/>
    <s v="BIBIANO ANASTACIO DE PAULA"/>
    <n v="3805.54"/>
    <n v="304.44"/>
    <n v="0"/>
    <n v="0"/>
    <s v="BIBIANO ANASTACIO DE PAULA"/>
    <n v="3805.54"/>
    <n v="345.25"/>
    <n v="0"/>
    <n v="0"/>
  </r>
  <r>
    <s v="BRENO ROSA DE ALMEIDA"/>
    <x v="1"/>
    <s v="A"/>
    <s v="N"/>
    <n v="3158.92"/>
    <n v="0"/>
    <n v="0"/>
    <n v="0"/>
    <n v="0"/>
    <n v="252.71"/>
    <n v="0"/>
    <n v="0"/>
    <n v="0"/>
    <n v="0"/>
    <n v="3158.92"/>
    <n v="0"/>
    <n v="0"/>
    <n v="267.64999999999998"/>
    <n v="0"/>
    <n v="0"/>
    <n v="0"/>
    <n v="3158.92"/>
    <n v="0"/>
    <n v="0"/>
    <n v="0"/>
    <n v="0"/>
    <n v="117.45"/>
    <n v="631.78"/>
    <n v="183.22"/>
    <n v="1200.0999999999999"/>
    <n v="0"/>
    <n v="0"/>
    <s v="BRENO ROSA DE ALMEIDA"/>
    <n v="3158.92"/>
    <n v="252.71"/>
    <n v="0"/>
    <n v="0"/>
    <s v="BRENO ROSA DE ALMEIDA"/>
    <n v="3158.92"/>
    <n v="267.64999999999998"/>
    <n v="0"/>
    <n v="0"/>
  </r>
  <r>
    <s v="CAIO FERNANDES CALIXTO"/>
    <x v="9"/>
    <s v="A"/>
    <s v="Z"/>
    <n v="641.41999999999996"/>
    <n v="0"/>
    <n v="0"/>
    <n v="0"/>
    <n v="0"/>
    <n v="12.83"/>
    <n v="0"/>
    <n v="0"/>
    <n v="0"/>
    <n v="0"/>
    <n v="641.41999999999996"/>
    <n v="0"/>
    <n v="0"/>
    <n v="48.1"/>
    <n v="0"/>
    <n v="0"/>
    <n v="0"/>
    <n v="641.41999999999996"/>
    <n v="0"/>
    <n v="0"/>
    <n v="0"/>
    <n v="0"/>
    <n v="23.85"/>
    <n v="128.28"/>
    <n v="37.200000000000003"/>
    <n v="237.43"/>
    <n v="0"/>
    <n v="9.9999999999997868E-3"/>
    <s v="CAIO FERNANDES CALIXTO"/>
    <n v="641.41999999999996"/>
    <n v="12.82"/>
    <n v="0"/>
    <n v="0"/>
    <s v="CAIO FERNANDES CALIXTO"/>
    <n v="641.41999999999996"/>
    <n v="48.1"/>
    <n v="0"/>
    <n v="0"/>
  </r>
  <r>
    <s v="CALIXTO CONCEICAO DE ARRUDA"/>
    <x v="1"/>
    <s v="A"/>
    <s v="N"/>
    <n v="3624.63"/>
    <n v="0"/>
    <n v="0"/>
    <n v="0"/>
    <n v="0"/>
    <n v="289.97000000000003"/>
    <n v="0"/>
    <n v="0"/>
    <n v="0"/>
    <n v="0"/>
    <n v="3624.63"/>
    <n v="0"/>
    <n v="0"/>
    <n v="323.54000000000002"/>
    <n v="0"/>
    <n v="0"/>
    <n v="0"/>
    <n v="3624.63"/>
    <n v="0"/>
    <n v="0"/>
    <n v="0"/>
    <n v="0"/>
    <n v="134.76"/>
    <n v="724.93"/>
    <n v="210.23"/>
    <n v="1393.45"/>
    <n v="0"/>
    <n v="0"/>
    <s v="CALIXTO CONCEICAO DE ARRUDA"/>
    <n v="3624.63"/>
    <n v="289.97000000000003"/>
    <n v="0"/>
    <n v="0"/>
    <s v="CALIXTO CONCEICAO DE ARRUDA"/>
    <n v="3624.63"/>
    <n v="323.54000000000002"/>
    <n v="0"/>
    <n v="0"/>
  </r>
  <r>
    <s v="CARLITO PAULA DOS SANTOS"/>
    <x v="2"/>
    <s v="A"/>
    <s v="N"/>
    <n v="3200.88"/>
    <n v="0"/>
    <n v="0"/>
    <n v="0"/>
    <n v="0"/>
    <n v="256.07"/>
    <n v="0"/>
    <n v="0"/>
    <n v="0"/>
    <n v="0"/>
    <n v="3200.88"/>
    <n v="0"/>
    <n v="0"/>
    <n v="272.69"/>
    <n v="0"/>
    <n v="0"/>
    <n v="0"/>
    <n v="3200.88"/>
    <n v="0"/>
    <n v="0"/>
    <n v="0"/>
    <n v="0"/>
    <n v="119.01"/>
    <n v="640.17999999999995"/>
    <n v="185.65"/>
    <n v="1217.52"/>
    <n v="0"/>
    <n v="0"/>
    <s v="CARLITO PAULA DOS SANTOS"/>
    <n v="3200.88"/>
    <n v="256.07"/>
    <n v="0"/>
    <n v="0"/>
    <s v="CARLITO PAULA DOS SANTOS"/>
    <n v="3200.88"/>
    <n v="272.69"/>
    <n v="0"/>
    <n v="0"/>
  </r>
  <r>
    <s v="CARLOS ANDRE OLIVEIRA DA SILVA"/>
    <x v="10"/>
    <s v="A"/>
    <s v="N"/>
    <n v="3112.09"/>
    <n v="0"/>
    <n v="0"/>
    <n v="0"/>
    <n v="0"/>
    <n v="248.97"/>
    <n v="0"/>
    <n v="0"/>
    <n v="0"/>
    <n v="0"/>
    <n v="3112.09"/>
    <n v="0"/>
    <n v="0"/>
    <n v="262.04000000000002"/>
    <n v="0"/>
    <n v="0"/>
    <n v="0"/>
    <n v="3112.09"/>
    <n v="0"/>
    <n v="0"/>
    <n v="0"/>
    <n v="0"/>
    <n v="115.7"/>
    <n v="622.41999999999996"/>
    <n v="180.5"/>
    <n v="1180.6600000000001"/>
    <n v="0"/>
    <n v="9.9999999999909051E-3"/>
    <s v="CARLOS ANDRE OLIVEIRA DA SILVA"/>
    <n v="3112.09"/>
    <n v="248.96"/>
    <n v="0"/>
    <n v="0"/>
    <s v="CARLOS ANDRE OLIVEIRA DA SILVA"/>
    <n v="3112.09"/>
    <n v="262.04000000000002"/>
    <n v="0"/>
    <n v="0"/>
  </r>
  <r>
    <s v="CARLOS EDUARDO OLIVEIRA DE LIMA"/>
    <x v="1"/>
    <s v="D"/>
    <s v="N"/>
    <n v="799.32"/>
    <n v="0"/>
    <n v="0"/>
    <n v="2104.08"/>
    <n v="0"/>
    <n v="63.95"/>
    <n v="0"/>
    <n v="0"/>
    <n v="168.33"/>
    <n v="0"/>
    <n v="799.32"/>
    <n v="2104.08"/>
    <n v="0"/>
    <n v="59.94"/>
    <n v="165.04"/>
    <n v="0"/>
    <n v="0"/>
    <n v="799.32"/>
    <n v="0"/>
    <n v="0"/>
    <n v="0"/>
    <n v="0"/>
    <n v="107.95"/>
    <n v="580.67999999999995"/>
    <n v="168.4"/>
    <n v="1082"/>
    <n v="0"/>
    <n v="2.0000000000038654E-2"/>
    <s v="CARLOS EDUARDO OLIVEIRA DE LIMA"/>
    <n v="2903.4"/>
    <n v="232.26"/>
    <n v="0"/>
    <n v="0"/>
    <s v="CARLOS EDUARDO OLIVEIRA DE LIMA"/>
    <n v="799.32"/>
    <n v="59.94"/>
    <n v="2104.08"/>
    <n v="165.04"/>
  </r>
  <r>
    <s v="CARLOS EDUARDO SILVEIRA COSTA"/>
    <x v="1"/>
    <s v="A"/>
    <s v="N"/>
    <n v="6175.9"/>
    <n v="0"/>
    <n v="0"/>
    <n v="0"/>
    <n v="0"/>
    <n v="494.07"/>
    <n v="0"/>
    <n v="0"/>
    <n v="0"/>
    <n v="0"/>
    <n v="6175.9"/>
    <n v="0"/>
    <n v="0"/>
    <n v="666.12"/>
    <n v="0"/>
    <n v="0"/>
    <n v="0"/>
    <n v="6175.9"/>
    <n v="0"/>
    <n v="397.99"/>
    <n v="0"/>
    <n v="0"/>
    <n v="229.61"/>
    <n v="1235.18"/>
    <n v="358.2"/>
    <n v="2489.12"/>
    <n v="0"/>
    <n v="0"/>
    <s v="CARLOS EDUARDO SILVEIRA COSTA"/>
    <n v="6175.9"/>
    <n v="494.07"/>
    <n v="0"/>
    <n v="0"/>
    <s v="CARLOS EDUARDO SILVEIRA COSTA"/>
    <n v="6175.9"/>
    <n v="666.12"/>
    <n v="0"/>
    <n v="0"/>
  </r>
  <r>
    <s v="CARLOS LUIZ DOS SANTOS"/>
    <x v="10"/>
    <s v="A"/>
    <s v="N"/>
    <n v="3710.73"/>
    <n v="0"/>
    <n v="0"/>
    <n v="0"/>
    <n v="0"/>
    <n v="296.86"/>
    <n v="0"/>
    <n v="0"/>
    <n v="0"/>
    <n v="0"/>
    <n v="3710.73"/>
    <n v="0"/>
    <n v="0"/>
    <n v="333.87"/>
    <n v="0"/>
    <n v="0"/>
    <n v="0"/>
    <n v="3710.73"/>
    <n v="0"/>
    <n v="0"/>
    <n v="0"/>
    <n v="0"/>
    <n v="137.96"/>
    <n v="742.15"/>
    <n v="215.22"/>
    <n v="1429.2"/>
    <n v="0"/>
    <n v="9.9999999999909051E-3"/>
    <s v="CARLOS LUIZ DOS SANTOS"/>
    <n v="3710.73"/>
    <n v="296.85000000000002"/>
    <n v="0"/>
    <n v="0"/>
    <s v="CARLOS LUIZ DOS SANTOS"/>
    <n v="3710.73"/>
    <n v="333.87"/>
    <n v="0"/>
    <n v="0"/>
  </r>
  <r>
    <s v="CARLOS VINICIUS DE LIMA CAMPOS"/>
    <x v="1"/>
    <s v="A"/>
    <s v="N"/>
    <n v="3633.07"/>
    <n v="0"/>
    <n v="0"/>
    <n v="0"/>
    <n v="0"/>
    <n v="290.64999999999998"/>
    <n v="0"/>
    <n v="0"/>
    <n v="0"/>
    <n v="0"/>
    <n v="3633.07"/>
    <n v="0"/>
    <n v="0"/>
    <n v="324.55"/>
    <n v="0"/>
    <n v="0"/>
    <n v="0"/>
    <n v="3633.07"/>
    <n v="0"/>
    <n v="0"/>
    <n v="0"/>
    <n v="0"/>
    <n v="135.07"/>
    <n v="726.61"/>
    <n v="210.72"/>
    <n v="1396.96"/>
    <n v="0"/>
    <n v="9.9999999999909051E-3"/>
    <s v="CARLOS VINICIUS DE LIMA CAMPOS"/>
    <n v="3633.07"/>
    <n v="290.64"/>
    <n v="0"/>
    <n v="0"/>
    <s v="CARLOS VINICIUS DE LIMA CAMPOS"/>
    <n v="3633.07"/>
    <n v="324.55"/>
    <n v="0"/>
    <n v="0"/>
  </r>
  <r>
    <s v="CARLOS WILLIAM PAULA DE SOUZA"/>
    <x v="1"/>
    <s v="A"/>
    <s v="N"/>
    <n v="3288.34"/>
    <n v="0"/>
    <n v="0"/>
    <n v="0"/>
    <n v="0"/>
    <n v="263.07"/>
    <n v="0"/>
    <n v="0"/>
    <n v="0"/>
    <n v="0"/>
    <n v="3288.34"/>
    <n v="0"/>
    <n v="0"/>
    <n v="283.19"/>
    <n v="0"/>
    <n v="0"/>
    <n v="0"/>
    <n v="3288.34"/>
    <n v="0"/>
    <n v="0"/>
    <n v="0"/>
    <n v="0"/>
    <n v="122.26"/>
    <n v="657.67"/>
    <n v="190.72"/>
    <n v="1253.8399999999999"/>
    <n v="0"/>
    <n v="9.9999999999909051E-3"/>
    <s v="CARLOS WILLIAM PAULA DE SOUZA"/>
    <n v="3288.34"/>
    <n v="263.06"/>
    <n v="0"/>
    <n v="0"/>
    <s v="CARLOS WILLIAM PAULA DE SOUZA"/>
    <n v="3288.34"/>
    <n v="283.19"/>
    <n v="0"/>
    <n v="0"/>
  </r>
  <r>
    <s v="CAUA RODRIGUES NORBERTO DA SILVA"/>
    <x v="1"/>
    <s v="A"/>
    <s v="N"/>
    <n v="3861.07"/>
    <n v="0"/>
    <n v="0"/>
    <n v="0"/>
    <n v="0"/>
    <n v="308.89"/>
    <n v="0"/>
    <n v="0"/>
    <n v="0"/>
    <n v="0"/>
    <n v="3861.07"/>
    <n v="0"/>
    <n v="0"/>
    <n v="351.91"/>
    <n v="0"/>
    <n v="0"/>
    <n v="0"/>
    <n v="3861.07"/>
    <n v="0"/>
    <n v="0"/>
    <n v="0"/>
    <n v="0"/>
    <n v="143.55000000000001"/>
    <n v="772.21"/>
    <n v="223.94"/>
    <n v="1491.62"/>
    <n v="0"/>
    <n v="9.9999999999909051E-3"/>
    <s v="CAUA RODRIGUES NORBERTO DA SILVA"/>
    <n v="3861.07"/>
    <n v="308.88"/>
    <n v="0"/>
    <n v="0"/>
    <s v="CAUA RODRIGUES NORBERTO DA SILVA"/>
    <n v="3861.07"/>
    <n v="351.91"/>
    <n v="0"/>
    <n v="0"/>
  </r>
  <r>
    <s v="CLAUDEMIR CLOVIS DA SILVA"/>
    <x v="1"/>
    <s v="A"/>
    <s v="N"/>
    <n v="6075.72"/>
    <n v="0"/>
    <n v="0"/>
    <n v="0"/>
    <n v="0"/>
    <n v="486.06"/>
    <n v="0"/>
    <n v="0"/>
    <n v="0"/>
    <n v="0"/>
    <n v="6075.72"/>
    <n v="0"/>
    <n v="0"/>
    <n v="652.1"/>
    <n v="0"/>
    <n v="0"/>
    <n v="0"/>
    <n v="6075.72"/>
    <n v="0"/>
    <n v="413.09"/>
    <n v="0"/>
    <n v="0"/>
    <n v="225.89"/>
    <n v="1215.1400000000001"/>
    <n v="352.39"/>
    <n v="2445.52"/>
    <n v="0"/>
    <n v="9.9999999999909051E-3"/>
    <s v="CLAUDEMIR CLOVIS DA SILVA"/>
    <n v="6075.72"/>
    <n v="486.05"/>
    <n v="0"/>
    <n v="0"/>
    <s v="CLAUDEMIR CLOVIS DA SILVA"/>
    <n v="6075.72"/>
    <n v="652.1"/>
    <n v="0"/>
    <n v="0"/>
  </r>
  <r>
    <s v="CLAUDINEI CARVALHO DE OLIVEIRA"/>
    <x v="1"/>
    <s v="A"/>
    <s v="N"/>
    <n v="4048.63"/>
    <n v="0"/>
    <n v="0"/>
    <n v="0"/>
    <n v="0"/>
    <n v="323.89"/>
    <n v="0"/>
    <n v="0"/>
    <n v="0"/>
    <n v="0"/>
    <n v="4048.63"/>
    <n v="0"/>
    <n v="0"/>
    <n v="374.42"/>
    <n v="0"/>
    <n v="0"/>
    <n v="0"/>
    <n v="4048.63"/>
    <n v="0"/>
    <n v="0"/>
    <n v="0"/>
    <n v="0"/>
    <n v="150.52000000000001"/>
    <n v="809.73"/>
    <n v="234.82"/>
    <n v="1569.49"/>
    <n v="0"/>
    <n v="0"/>
    <s v="CLAUDINEI CARVALHO DE OLIVEIRA"/>
    <n v="4048.63"/>
    <n v="323.89"/>
    <n v="0"/>
    <n v="0"/>
    <s v="CLAUDINEI CARVALHO DE OLIVEIRA"/>
    <n v="4048.63"/>
    <n v="374.42"/>
    <n v="0"/>
    <n v="0"/>
  </r>
  <r>
    <s v="CLAUDINEI DAS NEVES"/>
    <x v="0"/>
    <s v="A"/>
    <s v="N"/>
    <n v="3499.92"/>
    <n v="0"/>
    <n v="0"/>
    <n v="0"/>
    <n v="0"/>
    <n v="279.99"/>
    <n v="0"/>
    <n v="0"/>
    <n v="0"/>
    <n v="0"/>
    <n v="3499.92"/>
    <n v="0"/>
    <n v="0"/>
    <n v="308.57"/>
    <n v="0"/>
    <n v="0"/>
    <n v="0"/>
    <n v="3499.92"/>
    <n v="0"/>
    <n v="0"/>
    <n v="0"/>
    <n v="0"/>
    <n v="130.12"/>
    <n v="699.98"/>
    <n v="203"/>
    <n v="1341.67"/>
    <n v="0"/>
    <n v="0"/>
    <s v="CLAUDINEI DAS NEVES"/>
    <n v="3499.92"/>
    <n v="279.99"/>
    <n v="0"/>
    <n v="0"/>
    <s v="CLAUDINEI DAS NEVES"/>
    <n v="3499.92"/>
    <n v="308.57"/>
    <n v="0"/>
    <n v="0"/>
  </r>
  <r>
    <s v="CLAUDINEI FERREIRA DA SILVA"/>
    <x v="11"/>
    <s v="A"/>
    <s v="N"/>
    <n v="2998.36"/>
    <n v="0"/>
    <n v="0"/>
    <n v="0"/>
    <n v="0"/>
    <n v="239.87"/>
    <n v="0"/>
    <n v="0"/>
    <n v="0"/>
    <n v="0"/>
    <n v="2998.36"/>
    <n v="0"/>
    <n v="0"/>
    <n v="248.39"/>
    <n v="0"/>
    <n v="0"/>
    <n v="0"/>
    <n v="2998.36"/>
    <n v="0"/>
    <n v="0"/>
    <n v="0"/>
    <n v="0"/>
    <n v="111.48"/>
    <n v="599.66999999999996"/>
    <n v="173.9"/>
    <n v="1133.44"/>
    <n v="0"/>
    <n v="9.9999999999909051E-3"/>
    <s v="CLAUDINEI FERREIRA DA SILVA"/>
    <n v="2998.36"/>
    <n v="239.86"/>
    <n v="0"/>
    <n v="0"/>
    <s v="CLAUDINEI FERREIRA DA SILVA"/>
    <n v="2998.36"/>
    <n v="248.39"/>
    <n v="0"/>
    <n v="0"/>
  </r>
  <r>
    <s v="CLAUDIO MODESTO"/>
    <x v="8"/>
    <s v="D"/>
    <s v="N"/>
    <n v="487.12"/>
    <n v="471.09"/>
    <n v="0"/>
    <n v="1570.36"/>
    <n v="0"/>
    <n v="38.97"/>
    <n v="37.69"/>
    <n v="0"/>
    <n v="125.63"/>
    <n v="0"/>
    <n v="487.12"/>
    <n v="1570.36"/>
    <n v="0"/>
    <n v="36.53"/>
    <n v="117.77"/>
    <n v="0"/>
    <n v="0"/>
    <n v="487.12"/>
    <n v="0"/>
    <n v="0"/>
    <n v="0"/>
    <n v="0"/>
    <n v="76.5"/>
    <n v="411.5"/>
    <n v="119.33"/>
    <n v="761.62"/>
    <n v="2528.5699999999997"/>
    <n v="202.29"/>
    <m/>
    <m/>
    <m/>
    <n v="0"/>
    <n v="0"/>
    <s v="CLAUDIO MODESTO"/>
    <n v="487.12"/>
    <n v="36.53"/>
    <n v="1570.36"/>
    <n v="117.77"/>
  </r>
  <r>
    <s v="CLAUDIONOR RODRIGUES VILHENA JUNIOR"/>
    <x v="6"/>
    <s v="A"/>
    <s v="N"/>
    <n v="4736.2700000000004"/>
    <n v="0"/>
    <n v="0"/>
    <n v="0"/>
    <n v="0"/>
    <n v="378.9"/>
    <n v="0"/>
    <n v="0"/>
    <n v="0"/>
    <n v="0"/>
    <n v="4736.2700000000004"/>
    <n v="0"/>
    <n v="0"/>
    <n v="464.58"/>
    <n v="0"/>
    <n v="0"/>
    <n v="0"/>
    <n v="4736.2700000000004"/>
    <n v="0"/>
    <n v="0"/>
    <n v="0"/>
    <n v="0"/>
    <n v="176.09"/>
    <n v="947.25"/>
    <n v="274.7"/>
    <n v="1862.63"/>
    <n v="0"/>
    <n v="0"/>
    <s v="CLAUDIONOR RODRIGUES VILHENA JUNIOR"/>
    <n v="4736.2700000000004"/>
    <n v="378.9"/>
    <n v="0"/>
    <n v="0"/>
    <s v="CLAUDIONOR RODRIGUES VILHENA JUNIOR"/>
    <n v="4736.2700000000004"/>
    <n v="464.58"/>
    <n v="0"/>
    <n v="0"/>
  </r>
  <r>
    <s v="CLEBER SCHNEIDERS MARTINS"/>
    <x v="1"/>
    <s v="A"/>
    <s v="N"/>
    <n v="3589.6"/>
    <n v="0"/>
    <n v="0"/>
    <n v="0"/>
    <n v="0"/>
    <n v="287.17"/>
    <n v="0"/>
    <n v="0"/>
    <n v="0"/>
    <n v="0"/>
    <n v="3589.6"/>
    <n v="0"/>
    <n v="0"/>
    <n v="319.33999999999997"/>
    <n v="0"/>
    <n v="0"/>
    <n v="0"/>
    <n v="3589.6"/>
    <n v="0"/>
    <n v="0"/>
    <n v="0"/>
    <n v="0"/>
    <n v="133.46"/>
    <n v="717.92"/>
    <n v="208.2"/>
    <n v="1378.91"/>
    <n v="0"/>
    <n v="9.9999999999909051E-3"/>
    <s v="CLEBER SCHNEIDERS MARTINS"/>
    <n v="3589.6"/>
    <n v="287.16000000000003"/>
    <n v="0"/>
    <n v="0"/>
    <s v="CLEBER SCHNEIDERS MARTINS"/>
    <n v="3589.6"/>
    <n v="319.33999999999997"/>
    <n v="0"/>
    <n v="0"/>
  </r>
  <r>
    <s v="CLEIVISON APARECIDO DA SILVA"/>
    <x v="1"/>
    <s v="A"/>
    <s v="N"/>
    <n v="3864.39"/>
    <n v="0"/>
    <n v="0"/>
    <n v="0"/>
    <n v="0"/>
    <n v="309.14999999999998"/>
    <n v="0"/>
    <n v="0"/>
    <n v="0"/>
    <n v="0"/>
    <n v="3864.39"/>
    <n v="0"/>
    <n v="0"/>
    <n v="352.31"/>
    <n v="0"/>
    <n v="0"/>
    <n v="0"/>
    <n v="3864.39"/>
    <n v="0"/>
    <n v="0"/>
    <n v="0"/>
    <n v="0"/>
    <n v="143.66999999999999"/>
    <n v="772.88"/>
    <n v="224.13"/>
    <n v="1493"/>
    <n v="0"/>
    <n v="0"/>
    <s v="CLEIVISON APARECIDO DA SILVA"/>
    <n v="3864.39"/>
    <n v="309.14999999999998"/>
    <n v="0"/>
    <n v="0"/>
    <s v="CLEIVISON APARECIDO DA SILVA"/>
    <n v="3864.39"/>
    <n v="352.31"/>
    <n v="0"/>
    <n v="0"/>
  </r>
  <r>
    <s v="CLEOMAR MOREIRA DOS SANTOS"/>
    <x v="1"/>
    <s v="A"/>
    <s v="N"/>
    <n v="6305.06"/>
    <n v="0"/>
    <n v="0"/>
    <n v="0"/>
    <n v="0"/>
    <n v="504.4"/>
    <n v="0"/>
    <n v="0"/>
    <n v="0"/>
    <n v="0"/>
    <n v="6305.06"/>
    <n v="0"/>
    <n v="0"/>
    <n v="684.21"/>
    <n v="0"/>
    <n v="0"/>
    <n v="0"/>
    <n v="6305.06"/>
    <n v="0"/>
    <n v="497.87"/>
    <n v="0"/>
    <n v="0"/>
    <n v="234.42"/>
    <n v="1261.01"/>
    <n v="365.69"/>
    <n v="2545.33"/>
    <n v="0"/>
    <n v="0"/>
    <s v="CLEOMAR MOREIRA DOS SANTOS"/>
    <n v="6305.06"/>
    <n v="504.4"/>
    <n v="0"/>
    <n v="0"/>
    <s v="CLEOMAR MOREIRA DOS SANTOS"/>
    <n v="6305.06"/>
    <n v="684.21"/>
    <n v="0"/>
    <n v="0"/>
  </r>
  <r>
    <s v="CLOVIS SERGIO RONDON"/>
    <x v="1"/>
    <s v="A"/>
    <s v="N"/>
    <n v="3780.92"/>
    <n v="0"/>
    <n v="0"/>
    <n v="0"/>
    <n v="0"/>
    <n v="302.47000000000003"/>
    <n v="0"/>
    <n v="0"/>
    <n v="0"/>
    <n v="0"/>
    <n v="3780.92"/>
    <n v="0"/>
    <n v="0"/>
    <n v="342.29"/>
    <n v="0"/>
    <n v="0"/>
    <n v="0"/>
    <n v="3780.92"/>
    <n v="0"/>
    <n v="0"/>
    <n v="0"/>
    <n v="0"/>
    <n v="140.57"/>
    <n v="756.18"/>
    <n v="219.29"/>
    <n v="1458.34"/>
    <n v="0"/>
    <n v="0"/>
    <s v="CLOVIS SERGIO RONDON"/>
    <n v="3780.92"/>
    <n v="302.47000000000003"/>
    <n v="0"/>
    <n v="0"/>
    <s v="CLOVIS SERGIO RONDON"/>
    <n v="3780.92"/>
    <n v="342.29"/>
    <n v="0"/>
    <n v="0"/>
  </r>
  <r>
    <s v="DANIEL DA SILVA FERREIRA"/>
    <x v="1"/>
    <s v="D"/>
    <s v="N"/>
    <n v="2666.62"/>
    <n v="3376.78"/>
    <n v="288.63"/>
    <n v="2597.63"/>
    <n v="0"/>
    <n v="213.33"/>
    <n v="270.14"/>
    <n v="23.09"/>
    <n v="207.81"/>
    <n v="0"/>
    <n v="2666.62"/>
    <n v="2886.26"/>
    <n v="0"/>
    <n v="215.67"/>
    <n v="235.44"/>
    <n v="0"/>
    <n v="0"/>
    <n v="2666.62"/>
    <n v="0"/>
    <n v="0"/>
    <n v="0"/>
    <n v="0"/>
    <n v="206.45"/>
    <n v="1110.58"/>
    <n v="322.07"/>
    <n v="2090.1999999999998"/>
    <n v="8929.66"/>
    <n v="714.37"/>
    <m/>
    <m/>
    <m/>
    <n v="0"/>
    <n v="0"/>
    <s v="DANIEL DA SILVA FERREIRA"/>
    <n v="2666.62"/>
    <n v="215.67"/>
    <n v="2886.26"/>
    <n v="235.44"/>
  </r>
  <r>
    <s v="DANIEL DOS SANTOS SOUZA"/>
    <x v="1"/>
    <s v="A"/>
    <s v="N"/>
    <n v="3345.93"/>
    <n v="0"/>
    <n v="0"/>
    <n v="0"/>
    <n v="0"/>
    <n v="267.67"/>
    <n v="0"/>
    <n v="0"/>
    <n v="0"/>
    <n v="0"/>
    <n v="3345.93"/>
    <n v="0"/>
    <n v="0"/>
    <n v="290.10000000000002"/>
    <n v="0"/>
    <n v="0"/>
    <n v="0"/>
    <n v="3345.93"/>
    <n v="0"/>
    <n v="0"/>
    <n v="0"/>
    <n v="0"/>
    <n v="124.4"/>
    <n v="669.19"/>
    <n v="194.06"/>
    <n v="1277.75"/>
    <n v="0"/>
    <n v="0"/>
    <s v="DANIEL DOS SANTOS SOUZA"/>
    <n v="3345.93"/>
    <n v="267.67"/>
    <n v="0"/>
    <n v="0"/>
    <s v="DANIEL DOS SANTOS SOUZA"/>
    <n v="3345.93"/>
    <n v="290.10000000000002"/>
    <n v="0"/>
    <n v="0"/>
  </r>
  <r>
    <s v="DANIEL FELIPE DA SILVA AMANCIO"/>
    <x v="12"/>
    <s v="D"/>
    <s v="N"/>
    <n v="1482.31"/>
    <n v="0"/>
    <n v="0"/>
    <n v="2051.25"/>
    <n v="0"/>
    <n v="118.58"/>
    <n v="0"/>
    <n v="0"/>
    <n v="164.1"/>
    <n v="0"/>
    <n v="1482.31"/>
    <n v="2051.25"/>
    <n v="0"/>
    <n v="111.17"/>
    <n v="160.29"/>
    <n v="0"/>
    <n v="0"/>
    <n v="1482.31"/>
    <n v="0"/>
    <n v="0"/>
    <n v="0"/>
    <n v="0"/>
    <n v="131.37"/>
    <n v="706.71"/>
    <n v="204.95"/>
    <n v="1314.49"/>
    <n v="0"/>
    <n v="0"/>
    <s v="DANIEL FELIPE DA SILVA AMANCIO"/>
    <n v="3533.56"/>
    <n v="282.68"/>
    <n v="0"/>
    <n v="0"/>
    <s v="DANIEL FELIPE DA SILVA AMANCIO"/>
    <n v="1482.31"/>
    <n v="111.17"/>
    <n v="2051.25"/>
    <n v="160.29"/>
  </r>
  <r>
    <s v="DANIEL RAIMUNDO"/>
    <x v="11"/>
    <s v="A"/>
    <s v="N"/>
    <n v="3016.88"/>
    <n v="0"/>
    <n v="0"/>
    <n v="0"/>
    <n v="0"/>
    <n v="241.35"/>
    <n v="0"/>
    <n v="0"/>
    <n v="0"/>
    <n v="0"/>
    <n v="3016.88"/>
    <n v="0"/>
    <n v="0"/>
    <n v="250.61"/>
    <n v="0"/>
    <n v="0"/>
    <n v="0"/>
    <n v="3016.88"/>
    <n v="0"/>
    <n v="0"/>
    <n v="0"/>
    <n v="0"/>
    <n v="112.16"/>
    <n v="603.38"/>
    <n v="174.98"/>
    <n v="1141.1300000000001"/>
    <n v="0"/>
    <n v="0"/>
    <s v="DANIEL RAIMUNDO"/>
    <n v="3016.88"/>
    <n v="241.35"/>
    <n v="0"/>
    <n v="0"/>
    <s v="DANIEL RAIMUNDO"/>
    <n v="3016.88"/>
    <n v="250.61"/>
    <n v="0"/>
    <n v="0"/>
  </r>
  <r>
    <s v="DANIEL SOARES DA SILVA"/>
    <x v="1"/>
    <s v="A"/>
    <s v="N"/>
    <n v="3281.61"/>
    <n v="0"/>
    <n v="0"/>
    <n v="0"/>
    <n v="0"/>
    <n v="262.52999999999997"/>
    <n v="0"/>
    <n v="0"/>
    <n v="0"/>
    <n v="0"/>
    <n v="3281.61"/>
    <n v="0"/>
    <n v="0"/>
    <n v="282.38"/>
    <n v="0"/>
    <n v="0"/>
    <n v="0"/>
    <n v="3281.61"/>
    <n v="0"/>
    <n v="0"/>
    <n v="0"/>
    <n v="0"/>
    <n v="122.01"/>
    <n v="656.32"/>
    <n v="190.33"/>
    <n v="1251.04"/>
    <n v="0"/>
    <n v="9.9999999999909051E-3"/>
    <s v="DANIEL SOARES DA SILVA"/>
    <n v="3281.61"/>
    <n v="262.52"/>
    <n v="0"/>
    <n v="0"/>
    <s v="DANIEL SOARES DA SILVA"/>
    <n v="3281.61"/>
    <n v="282.38"/>
    <n v="0"/>
    <n v="0"/>
  </r>
  <r>
    <s v="DANIELI HAISSA CHIRE DE QUISPE SILVA"/>
    <x v="9"/>
    <s v="A"/>
    <s v="N"/>
    <n v="2911.87"/>
    <n v="0"/>
    <n v="0"/>
    <n v="0"/>
    <n v="0"/>
    <n v="232.95"/>
    <n v="0"/>
    <n v="0"/>
    <n v="0"/>
    <n v="0"/>
    <n v="2911.87"/>
    <n v="0"/>
    <n v="0"/>
    <n v="238.01"/>
    <n v="0"/>
    <n v="0"/>
    <n v="0"/>
    <n v="2911.87"/>
    <n v="0"/>
    <n v="0"/>
    <n v="0"/>
    <n v="0"/>
    <n v="108.26"/>
    <n v="582.37"/>
    <n v="168.89"/>
    <n v="1097.53"/>
    <n v="0"/>
    <n v="9.9999999999909051E-3"/>
    <s v="DANIELI HAISSA CHIRE DE QUISPE SILVA"/>
    <n v="2911.87"/>
    <n v="232.94"/>
    <n v="0"/>
    <n v="0"/>
    <s v="DANIELI HAISSA CHIRE DE QUISPE"/>
    <n v="2911.87"/>
    <n v="238.01"/>
    <n v="0"/>
    <n v="0"/>
  </r>
  <r>
    <s v="DAVI GERALDO COELHO"/>
    <x v="2"/>
    <s v="A"/>
    <s v="N"/>
    <n v="2354.0100000000002"/>
    <n v="0"/>
    <n v="0"/>
    <n v="0"/>
    <n v="0"/>
    <n v="188.32"/>
    <n v="0"/>
    <n v="0"/>
    <n v="0"/>
    <n v="0"/>
    <n v="2354.0100000000002"/>
    <n v="0"/>
    <n v="0"/>
    <n v="187.54"/>
    <n v="0"/>
    <n v="0"/>
    <n v="0"/>
    <n v="2354.0100000000002"/>
    <n v="0"/>
    <n v="0"/>
    <n v="0"/>
    <n v="0"/>
    <n v="87.52"/>
    <n v="470.8"/>
    <n v="136.53"/>
    <n v="882.39"/>
    <n v="0"/>
    <n v="0"/>
    <s v="DAVI GERALDO COELHO"/>
    <n v="2354.0100000000002"/>
    <n v="188.32"/>
    <n v="0"/>
    <n v="0"/>
    <s v="DAVI GERALDO COELHO"/>
    <n v="2354.0100000000002"/>
    <n v="187.54"/>
    <n v="0"/>
    <n v="0"/>
  </r>
  <r>
    <s v="DAVI NASCIMENTO DE OLIVEIRA"/>
    <x v="9"/>
    <s v="A"/>
    <s v="Z"/>
    <n v="641.41999999999996"/>
    <n v="0"/>
    <n v="0"/>
    <n v="0"/>
    <n v="0"/>
    <n v="12.83"/>
    <n v="0"/>
    <n v="0"/>
    <n v="0"/>
    <n v="0"/>
    <n v="641.41999999999996"/>
    <n v="0"/>
    <n v="0"/>
    <n v="48.1"/>
    <n v="0"/>
    <n v="0"/>
    <n v="0"/>
    <n v="641.41999999999996"/>
    <n v="0"/>
    <n v="0"/>
    <n v="0"/>
    <n v="0"/>
    <n v="23.85"/>
    <n v="128.28"/>
    <n v="37.200000000000003"/>
    <n v="237.43"/>
    <n v="0"/>
    <n v="9.9999999999997868E-3"/>
    <s v="DAVI NASCIMENTO DE OLIVEIRA"/>
    <n v="641.41999999999996"/>
    <n v="12.82"/>
    <n v="0"/>
    <n v="0"/>
    <s v="DAVI NASCIMENTO DE OLIVEIRA"/>
    <n v="641.41999999999996"/>
    <n v="48.1"/>
    <n v="0"/>
    <n v="0"/>
  </r>
  <r>
    <s v="DAVID MANDELLI DE CASTRO"/>
    <x v="12"/>
    <s v="A"/>
    <s v="N"/>
    <n v="470.8"/>
    <n v="0"/>
    <n v="0"/>
    <n v="0"/>
    <n v="0"/>
    <n v="37.659999999999997"/>
    <n v="0"/>
    <n v="0"/>
    <n v="0"/>
    <n v="0"/>
    <n v="470.8"/>
    <n v="0"/>
    <n v="0"/>
    <n v="35.31"/>
    <n v="0"/>
    <n v="0"/>
    <n v="0"/>
    <n v="470.8"/>
    <n v="0"/>
    <n v="0"/>
    <n v="0"/>
    <n v="0"/>
    <n v="17.5"/>
    <n v="94.16"/>
    <n v="27.31"/>
    <n v="174.28"/>
    <n v="0"/>
    <n v="0"/>
    <s v="DAVID MANDELLI DE CASTRO"/>
    <n v="470.8"/>
    <n v="37.659999999999997"/>
    <n v="0"/>
    <n v="0"/>
    <s v="DAVID MANDELLI DE CASTRO"/>
    <n v="470.8"/>
    <n v="35.31"/>
    <n v="0"/>
    <n v="0"/>
  </r>
  <r>
    <s v="DAVID RONDON BRANDAO"/>
    <x v="1"/>
    <s v="A"/>
    <s v="N"/>
    <n v="3666.9"/>
    <n v="0"/>
    <n v="0"/>
    <n v="0"/>
    <n v="0"/>
    <n v="293.35000000000002"/>
    <n v="0"/>
    <n v="0"/>
    <n v="0"/>
    <n v="0"/>
    <n v="3666.9"/>
    <n v="0"/>
    <n v="0"/>
    <n v="328.61"/>
    <n v="0"/>
    <n v="0"/>
    <n v="0"/>
    <n v="3666.9"/>
    <n v="0"/>
    <n v="0"/>
    <n v="0"/>
    <n v="0"/>
    <n v="136.33000000000001"/>
    <n v="733.38"/>
    <n v="212.68"/>
    <n v="1411"/>
    <n v="0"/>
    <n v="0"/>
    <s v="DAVID RONDON BRANDAO"/>
    <n v="3666.9"/>
    <n v="293.35000000000002"/>
    <n v="0"/>
    <n v="0"/>
    <s v="DAVID RONDON BRANDAO"/>
    <n v="3666.9"/>
    <n v="328.61"/>
    <n v="0"/>
    <n v="0"/>
  </r>
  <r>
    <s v="DEJAIR BORGES DE ALMEIDA"/>
    <x v="1"/>
    <s v="A"/>
    <s v="N"/>
    <n v="3436.56"/>
    <n v="0"/>
    <n v="0"/>
    <n v="0"/>
    <n v="0"/>
    <n v="274.92"/>
    <n v="0"/>
    <n v="0"/>
    <n v="0"/>
    <n v="0"/>
    <n v="3436.56"/>
    <n v="0"/>
    <n v="0"/>
    <n v="300.97000000000003"/>
    <n v="0"/>
    <n v="0"/>
    <n v="0"/>
    <n v="3436.56"/>
    <n v="0"/>
    <n v="0"/>
    <n v="0"/>
    <n v="0"/>
    <n v="127.77"/>
    <n v="687.31"/>
    <n v="199.32"/>
    <n v="1315.37"/>
    <n v="0"/>
    <n v="0"/>
    <s v="DEJAIR BORGES DE ALMEIDA"/>
    <n v="3436.56"/>
    <n v="274.92"/>
    <n v="0"/>
    <n v="0"/>
    <s v="DEJAIR BORGES DE ALMEIDA"/>
    <n v="3436.56"/>
    <n v="300.97000000000003"/>
    <n v="0"/>
    <n v="0"/>
  </r>
  <r>
    <s v="DENIS JOSE FERNANDES DA SILVA"/>
    <x v="1"/>
    <s v="A"/>
    <s v="N"/>
    <n v="799.32"/>
    <n v="0"/>
    <n v="0"/>
    <n v="0"/>
    <n v="0"/>
    <n v="63.95"/>
    <n v="0"/>
    <n v="0"/>
    <n v="0"/>
    <n v="0"/>
    <n v="799.32"/>
    <n v="0"/>
    <n v="0"/>
    <n v="59.94"/>
    <n v="0"/>
    <n v="0"/>
    <n v="0"/>
    <n v="799.32"/>
    <n v="0"/>
    <n v="0"/>
    <n v="0"/>
    <n v="0"/>
    <n v="29.72"/>
    <n v="159.86000000000001"/>
    <n v="46.36"/>
    <n v="295.88"/>
    <n v="0"/>
    <n v="1.0000000000005116E-2"/>
    <s v="DENIS JOSE FERNANDES DA SILVA"/>
    <n v="799.32"/>
    <n v="63.94"/>
    <n v="0"/>
    <n v="0"/>
    <s v="DENIS JOSE FERNANDES DA SILVA"/>
    <n v="799.32"/>
    <n v="59.94"/>
    <n v="0"/>
    <n v="0"/>
  </r>
  <r>
    <s v="DERIK HENRIQUE DOS SANTOS ANUNCIACAO"/>
    <x v="1"/>
    <s v="A"/>
    <s v="N"/>
    <n v="3760.14"/>
    <n v="0"/>
    <n v="0"/>
    <n v="0"/>
    <n v="0"/>
    <n v="300.81"/>
    <n v="0"/>
    <n v="0"/>
    <n v="0"/>
    <n v="0"/>
    <n v="3760.14"/>
    <n v="0"/>
    <n v="0"/>
    <n v="339.8"/>
    <n v="0"/>
    <n v="0"/>
    <n v="0"/>
    <n v="3760.14"/>
    <n v="0"/>
    <n v="0"/>
    <n v="0"/>
    <n v="0"/>
    <n v="139.80000000000001"/>
    <n v="752.03"/>
    <n v="218.09"/>
    <n v="1449.71"/>
    <n v="0"/>
    <n v="0"/>
    <s v="DERIK HENRIQUE DOS SANTOS ANUNCIACAO"/>
    <n v="3760.14"/>
    <n v="300.81"/>
    <n v="0"/>
    <n v="0"/>
    <s v="DERIK HENRIQUE DOS SANTOS ANUNCIACAO"/>
    <n v="3760.14"/>
    <n v="339.8"/>
    <n v="0"/>
    <n v="0"/>
  </r>
  <r>
    <s v="DIEGO RODRIGO DA CUNHA PARDINHO"/>
    <x v="0"/>
    <s v="D"/>
    <s v="N"/>
    <n v="1716.96"/>
    <n v="0"/>
    <n v="0"/>
    <n v="430.83"/>
    <n v="0"/>
    <n v="137.36000000000001"/>
    <n v="0"/>
    <n v="0"/>
    <n v="34.47"/>
    <n v="0"/>
    <n v="1716.96"/>
    <n v="430.83"/>
    <n v="0"/>
    <n v="130.19999999999999"/>
    <n v="32.31"/>
    <n v="0"/>
    <n v="0"/>
    <n v="1716.96"/>
    <n v="0"/>
    <n v="0"/>
    <n v="0"/>
    <n v="0"/>
    <n v="79.849999999999994"/>
    <n v="429.56"/>
    <n v="124.57"/>
    <n v="796.49"/>
    <n v="2147.79"/>
    <n v="171.83"/>
    <m/>
    <m/>
    <m/>
    <n v="0"/>
    <n v="0"/>
    <s v="DIEGO RODRIGO DA CUNHA PARDINHO"/>
    <n v="1716.96"/>
    <n v="130.19999999999999"/>
    <n v="430.83"/>
    <n v="32.31"/>
  </r>
  <r>
    <s v="DIOMAR MAGALHAES DE SOUZA"/>
    <x v="1"/>
    <s v="A"/>
    <s v="N"/>
    <n v="3671.1"/>
    <n v="0"/>
    <n v="0"/>
    <n v="0"/>
    <n v="0"/>
    <n v="293.69"/>
    <n v="0"/>
    <n v="0"/>
    <n v="0"/>
    <n v="0"/>
    <n v="3671.1"/>
    <n v="0"/>
    <n v="0"/>
    <n v="329.12"/>
    <n v="0"/>
    <n v="0"/>
    <n v="0"/>
    <n v="3671.1"/>
    <n v="0"/>
    <n v="0"/>
    <n v="0"/>
    <n v="0"/>
    <n v="136.49"/>
    <n v="734.22"/>
    <n v="212.92"/>
    <n v="1412.75"/>
    <n v="0"/>
    <n v="9.9999999999909051E-3"/>
    <s v="DIOMAR MAGALHAES DE SOUZA"/>
    <n v="3671.1"/>
    <n v="293.68"/>
    <n v="0"/>
    <n v="0"/>
    <s v="DIOMAR MAGALHAES DE SOUZA"/>
    <n v="3671.1"/>
    <n v="329.12"/>
    <n v="0"/>
    <n v="0"/>
  </r>
  <r>
    <s v="DIONES DA CONCEICAO ALVARENGA"/>
    <x v="1"/>
    <s v="A"/>
    <s v="N"/>
    <n v="6698.45"/>
    <n v="0"/>
    <n v="0"/>
    <n v="0"/>
    <n v="0"/>
    <n v="535.88"/>
    <n v="0"/>
    <n v="0"/>
    <n v="0"/>
    <n v="0"/>
    <n v="6698.45"/>
    <n v="0"/>
    <n v="0"/>
    <n v="739.28"/>
    <n v="0"/>
    <n v="0"/>
    <n v="0"/>
    <n v="6698.45"/>
    <n v="0"/>
    <n v="643.28"/>
    <n v="0"/>
    <n v="0"/>
    <n v="249.04"/>
    <n v="1339.69"/>
    <n v="388.51"/>
    <n v="2716.52"/>
    <n v="0"/>
    <n v="9.9999999999909051E-3"/>
    <s v="DIONES DA CONCEICAO ALVARENGA"/>
    <n v="6698.45"/>
    <n v="535.87"/>
    <n v="0"/>
    <n v="0"/>
    <s v="DIONES DA CONCEICAO ALVARENGA"/>
    <n v="6698.45"/>
    <n v="739.28"/>
    <n v="0"/>
    <n v="0"/>
  </r>
  <r>
    <s v="DIRCEU JOSE MERLINO NUNES"/>
    <x v="1"/>
    <s v="A"/>
    <s v="N"/>
    <n v="3925.28"/>
    <n v="0"/>
    <n v="0"/>
    <n v="0"/>
    <n v="0"/>
    <n v="314.02"/>
    <n v="0"/>
    <n v="0"/>
    <n v="0"/>
    <n v="0"/>
    <n v="3925.28"/>
    <n v="0"/>
    <n v="0"/>
    <n v="359.62"/>
    <n v="0"/>
    <n v="0"/>
    <n v="0"/>
    <n v="3925.28"/>
    <n v="0"/>
    <n v="0"/>
    <n v="0"/>
    <n v="0"/>
    <n v="145.94"/>
    <n v="785.06"/>
    <n v="227.67"/>
    <n v="1518.28"/>
    <n v="0"/>
    <n v="0"/>
    <s v="DIRCEU JOSE MERLINO NUNES"/>
    <n v="3925.28"/>
    <n v="314.02"/>
    <n v="0"/>
    <n v="0"/>
    <s v="DIRCEU JOSE MERLINO NUNES"/>
    <n v="3925.28"/>
    <n v="359.62"/>
    <n v="0"/>
    <n v="0"/>
  </r>
  <r>
    <s v="DIVINO SANTOS REIS"/>
    <x v="1"/>
    <s v="A"/>
    <s v="N"/>
    <n v="6363.82"/>
    <n v="0"/>
    <n v="0"/>
    <n v="0"/>
    <n v="0"/>
    <n v="509.11"/>
    <n v="0"/>
    <n v="0"/>
    <n v="0"/>
    <n v="0"/>
    <n v="6363.82"/>
    <n v="0"/>
    <n v="0"/>
    <n v="692.43"/>
    <n v="0"/>
    <n v="0"/>
    <n v="0"/>
    <n v="6363.82"/>
    <n v="0"/>
    <n v="519.59"/>
    <n v="0"/>
    <n v="0"/>
    <n v="236.6"/>
    <n v="1272.76"/>
    <n v="369.1"/>
    <n v="2570.9"/>
    <n v="0"/>
    <n v="9.9999999999909051E-3"/>
    <s v="DIVINO SANTOS REIS"/>
    <n v="6363.82"/>
    <n v="509.1"/>
    <n v="0"/>
    <n v="0"/>
    <s v="DIVINO SANTOS REIS"/>
    <n v="6363.82"/>
    <n v="692.43"/>
    <n v="0"/>
    <n v="0"/>
  </r>
  <r>
    <s v="DOUGLAS ORTIS DE OLIVEIRA"/>
    <x v="1"/>
    <s v="A"/>
    <s v="N"/>
    <n v="1948.53"/>
    <n v="0"/>
    <n v="0"/>
    <n v="0"/>
    <n v="0"/>
    <n v="155.88"/>
    <n v="0"/>
    <n v="0"/>
    <n v="0"/>
    <n v="0"/>
    <n v="1948.53"/>
    <n v="0"/>
    <n v="0"/>
    <n v="151.04"/>
    <n v="0"/>
    <n v="0"/>
    <n v="0"/>
    <n v="1948.53"/>
    <n v="0"/>
    <n v="0"/>
    <n v="0"/>
    <n v="0"/>
    <n v="72.44"/>
    <n v="389.71"/>
    <n v="113.01"/>
    <n v="726.21"/>
    <n v="0"/>
    <n v="0"/>
    <s v="DOUGLAS ORTIS DE OLIVEIRA"/>
    <n v="1948.53"/>
    <n v="155.88"/>
    <n v="0"/>
    <n v="0"/>
    <s v="DOUGLAS ORTIS DE OLIVEIRA"/>
    <n v="1948.53"/>
    <n v="151.04"/>
    <n v="0"/>
    <n v="0"/>
  </r>
  <r>
    <s v="EDINEI SILVA BATISTA"/>
    <x v="13"/>
    <s v="A"/>
    <s v="N"/>
    <n v="2973.88"/>
    <n v="0"/>
    <n v="0"/>
    <n v="0"/>
    <n v="0"/>
    <n v="237.91"/>
    <n v="0"/>
    <n v="0"/>
    <n v="0"/>
    <n v="0"/>
    <n v="2973.88"/>
    <n v="0"/>
    <n v="0"/>
    <n v="245.45"/>
    <n v="0"/>
    <n v="0"/>
    <n v="0"/>
    <n v="2973.88"/>
    <n v="0"/>
    <n v="0"/>
    <n v="0"/>
    <n v="0"/>
    <n v="110.57"/>
    <n v="594.78"/>
    <n v="172.49"/>
    <n v="1123.28"/>
    <n v="0"/>
    <n v="0"/>
    <s v="EDINEI SILVA BATISTA"/>
    <n v="2973.88"/>
    <n v="237.91"/>
    <n v="0"/>
    <n v="0"/>
    <s v="EDINEI SILVA BATISTA"/>
    <n v="2973.88"/>
    <n v="245.45"/>
    <n v="0"/>
    <n v="0"/>
  </r>
  <r>
    <s v="EDMILSON JOAQUIM DA SILVA"/>
    <x v="1"/>
    <s v="A"/>
    <s v="N"/>
    <n v="3958.11"/>
    <n v="0"/>
    <n v="0"/>
    <n v="0"/>
    <n v="0"/>
    <n v="316.64999999999998"/>
    <n v="0"/>
    <n v="0"/>
    <n v="0"/>
    <n v="0"/>
    <n v="3958.11"/>
    <n v="0"/>
    <n v="0"/>
    <n v="363.56"/>
    <n v="0"/>
    <n v="0"/>
    <n v="0"/>
    <n v="3958.11"/>
    <n v="0"/>
    <n v="0"/>
    <n v="0"/>
    <n v="0"/>
    <n v="147.16"/>
    <n v="791.62"/>
    <n v="229.57"/>
    <n v="1531.91"/>
    <n v="0"/>
    <n v="9.9999999999909051E-3"/>
    <s v="EDMILSON JOAQUIM DA SILVA"/>
    <n v="3958.11"/>
    <n v="316.64"/>
    <n v="0"/>
    <n v="0"/>
    <s v="EDMILSON JOAQUIM DA SILVA"/>
    <n v="3958.11"/>
    <n v="363.56"/>
    <n v="0"/>
    <n v="0"/>
  </r>
  <r>
    <s v="EDMILTON PEREIRA DE ARRUDA"/>
    <x v="1"/>
    <s v="A"/>
    <s v="N"/>
    <n v="3128.6"/>
    <n v="0"/>
    <n v="0"/>
    <n v="0"/>
    <n v="0"/>
    <n v="250.29"/>
    <n v="0"/>
    <n v="0"/>
    <n v="0"/>
    <n v="0"/>
    <n v="3128.6"/>
    <n v="0"/>
    <n v="0"/>
    <n v="264.02"/>
    <n v="0"/>
    <n v="0"/>
    <n v="0"/>
    <n v="3128.6"/>
    <n v="0"/>
    <n v="0"/>
    <n v="0"/>
    <n v="0"/>
    <n v="116.32"/>
    <n v="625.72"/>
    <n v="181.46"/>
    <n v="1187.52"/>
    <n v="0"/>
    <n v="9.9999999999909051E-3"/>
    <s v="EDMILTON PEREIRA DE ARRUDA"/>
    <n v="3128.6"/>
    <n v="250.28"/>
    <n v="0"/>
    <n v="0"/>
    <s v="EDMILTON PEREIRA DE ARRUDA"/>
    <n v="3128.6"/>
    <n v="264.02"/>
    <n v="0"/>
    <n v="0"/>
  </r>
  <r>
    <s v="EDSON ANSELMO GUANDALIN"/>
    <x v="4"/>
    <s v="A"/>
    <s v="N"/>
    <n v="4500"/>
    <n v="0"/>
    <n v="0"/>
    <n v="0"/>
    <n v="0"/>
    <n v="360"/>
    <n v="0"/>
    <n v="0"/>
    <n v="0"/>
    <n v="0"/>
    <n v="4500"/>
    <n v="0"/>
    <n v="0"/>
    <n v="431.5"/>
    <n v="0"/>
    <n v="0"/>
    <n v="0"/>
    <n v="4500"/>
    <n v="0"/>
    <n v="0"/>
    <n v="0"/>
    <n v="0"/>
    <n v="167.31"/>
    <n v="900"/>
    <n v="261"/>
    <n v="1759.81"/>
    <n v="0"/>
    <n v="0"/>
    <s v="EDSON ANSELMO GUANDALIN"/>
    <n v="4500"/>
    <n v="360"/>
    <n v="0"/>
    <n v="0"/>
    <s v="EDSON ANSELMO GUANDALIN"/>
    <n v="4500"/>
    <n v="431.5"/>
    <n v="0"/>
    <n v="0"/>
  </r>
  <r>
    <s v="EDUARDO AMARO LINS DOS SANTOS"/>
    <x v="1"/>
    <s v="A"/>
    <s v="N"/>
    <n v="3022.5"/>
    <n v="0"/>
    <n v="0"/>
    <n v="0"/>
    <n v="0"/>
    <n v="241.8"/>
    <n v="0"/>
    <n v="0"/>
    <n v="0"/>
    <n v="0"/>
    <n v="3022.5"/>
    <n v="0"/>
    <n v="0"/>
    <n v="251.28"/>
    <n v="0"/>
    <n v="0"/>
    <n v="0"/>
    <n v="3022.5"/>
    <n v="0"/>
    <n v="0"/>
    <n v="0"/>
    <n v="0"/>
    <n v="112.37"/>
    <n v="604.5"/>
    <n v="175.31"/>
    <n v="1143.46"/>
    <n v="0"/>
    <n v="0"/>
    <s v="EDUARDO AMARO LINS DOS SANTOS"/>
    <n v="3022.5"/>
    <n v="241.8"/>
    <n v="0"/>
    <n v="0"/>
    <s v="EDUARDO AMARO LINS DOS SANTOS"/>
    <n v="3022.5"/>
    <n v="251.28"/>
    <n v="0"/>
    <n v="0"/>
  </r>
  <r>
    <s v="EDUARDO HENRIQUE LOPES LOURENCO"/>
    <x v="1"/>
    <s v="P"/>
    <s v="N"/>
    <n v="2140.67"/>
    <n v="0"/>
    <n v="0"/>
    <n v="0"/>
    <n v="0"/>
    <n v="171.25"/>
    <n v="0"/>
    <n v="0"/>
    <n v="0"/>
    <n v="0"/>
    <n v="2140.67"/>
    <n v="0"/>
    <n v="0"/>
    <n v="168.34"/>
    <n v="0"/>
    <n v="0"/>
    <n v="0"/>
    <n v="2140.67"/>
    <n v="0"/>
    <n v="0"/>
    <n v="0"/>
    <n v="0"/>
    <n v="79.59"/>
    <n v="428.13"/>
    <n v="124.16"/>
    <n v="800.22"/>
    <n v="0"/>
    <n v="0"/>
    <s v="EDUARDO HENRIQUE LOPES LOURENCO"/>
    <n v="2140.67"/>
    <n v="171.25"/>
    <n v="0"/>
    <n v="0"/>
    <s v="EDUARDO HENRIQUE LOPES LOURENCO"/>
    <n v="2140.67"/>
    <n v="168.34"/>
    <n v="0"/>
    <n v="0"/>
  </r>
  <r>
    <s v="ELIANA APARECIDA DOMINGUES EMILIO"/>
    <x v="5"/>
    <s v="D"/>
    <s v="N"/>
    <n v="83.61"/>
    <n v="2533.4899999999998"/>
    <n v="210.47"/>
    <n v="1683.77"/>
    <n v="0"/>
    <n v="6.69"/>
    <n v="202.68"/>
    <n v="16.84"/>
    <n v="134.69999999999999"/>
    <n v="0"/>
    <n v="83.61"/>
    <n v="1894.24"/>
    <n v="0"/>
    <n v="6.27"/>
    <n v="146.16"/>
    <n v="0"/>
    <n v="0"/>
    <n v="83.61"/>
    <n v="0"/>
    <n v="0"/>
    <n v="0"/>
    <n v="0"/>
    <n v="73.53"/>
    <n v="395.57"/>
    <n v="114.72"/>
    <n v="736.25"/>
    <n v="4511.34"/>
    <n v="360.90999999999997"/>
    <m/>
    <m/>
    <m/>
    <n v="0"/>
    <n v="0"/>
    <s v="ELIANA APARECIDA DOMINGUES EMILIO"/>
    <n v="83.61"/>
    <n v="6.27"/>
    <n v="1894.24"/>
    <n v="146.16"/>
  </r>
  <r>
    <s v="ELITON RICARDO RIBEIRO"/>
    <x v="11"/>
    <s v="A"/>
    <s v="N"/>
    <n v="5565.56"/>
    <n v="0"/>
    <n v="0"/>
    <n v="0"/>
    <n v="0"/>
    <n v="445.24"/>
    <n v="0"/>
    <n v="0"/>
    <n v="0"/>
    <n v="0"/>
    <n v="5565.56"/>
    <n v="0"/>
    <n v="0"/>
    <n v="580.67999999999995"/>
    <n v="0"/>
    <n v="0"/>
    <n v="0"/>
    <n v="5565.56"/>
    <n v="0"/>
    <n v="217.22"/>
    <n v="0"/>
    <n v="0"/>
    <n v="206.92"/>
    <n v="1113.1099999999999"/>
    <n v="322.8"/>
    <n v="2223.52"/>
    <n v="0"/>
    <n v="0"/>
    <s v="ELITON RICARDO RIBEIRO"/>
    <n v="5565.56"/>
    <n v="445.24"/>
    <n v="0"/>
    <n v="0"/>
    <s v="ELITON RICARDO RIBEIRO"/>
    <n v="5565.56"/>
    <n v="580.67999999999995"/>
    <n v="0"/>
    <n v="0"/>
  </r>
  <r>
    <s v="ELIVELTON DE OLIVEIRA PASSOS"/>
    <x v="1"/>
    <s v="A"/>
    <s v="N"/>
    <n v="3671.99"/>
    <n v="0"/>
    <n v="0"/>
    <n v="0"/>
    <n v="0"/>
    <n v="293.76"/>
    <n v="0"/>
    <n v="0"/>
    <n v="0"/>
    <n v="0"/>
    <n v="3671.99"/>
    <n v="0"/>
    <n v="0"/>
    <n v="329.22"/>
    <n v="0"/>
    <n v="0"/>
    <n v="0"/>
    <n v="3671.99"/>
    <n v="0"/>
    <n v="0"/>
    <n v="0"/>
    <n v="0"/>
    <n v="136.52000000000001"/>
    <n v="734.4"/>
    <n v="212.98"/>
    <n v="1413.11"/>
    <n v="0"/>
    <n v="9.9999999999909051E-3"/>
    <s v="ELIVELTON DE OLIVEIRA PASSOS"/>
    <n v="3671.99"/>
    <n v="293.75"/>
    <n v="0"/>
    <n v="0"/>
    <s v="ELIVELTON DE OLIVEIRA PASSOS"/>
    <n v="3671.99"/>
    <n v="329.22"/>
    <n v="0"/>
    <n v="0"/>
  </r>
  <r>
    <s v="ELY CAMPOS DE ABREU"/>
    <x v="13"/>
    <s v="A"/>
    <s v="N"/>
    <n v="6816.14"/>
    <n v="0"/>
    <n v="0"/>
    <n v="0"/>
    <n v="0"/>
    <n v="545.29"/>
    <n v="0"/>
    <n v="0"/>
    <n v="0"/>
    <n v="0"/>
    <n v="6816.14"/>
    <n v="0"/>
    <n v="0"/>
    <n v="755.76"/>
    <n v="0"/>
    <n v="0"/>
    <n v="0"/>
    <n v="6816.14"/>
    <n v="0"/>
    <n v="634.65"/>
    <n v="0"/>
    <n v="0"/>
    <n v="253.42"/>
    <n v="1363.23"/>
    <n v="395.34"/>
    <n v="2767.74"/>
    <n v="0"/>
    <n v="0"/>
    <s v="ELY CAMPOS DE ABREU"/>
    <n v="6816.14"/>
    <n v="545.29"/>
    <n v="0"/>
    <n v="0"/>
    <s v="ELY CAMPOS DE ABREU"/>
    <n v="6816.14"/>
    <n v="755.76"/>
    <n v="0"/>
    <n v="0"/>
  </r>
  <r>
    <s v="ERICK ANTONNY DE JESUS SANTOS"/>
    <x v="5"/>
    <s v="A"/>
    <s v="N"/>
    <n v="1426.39"/>
    <n v="0"/>
    <n v="0"/>
    <n v="0"/>
    <n v="0"/>
    <n v="114.11"/>
    <n v="0"/>
    <n v="0"/>
    <n v="0"/>
    <n v="0"/>
    <n v="1426.39"/>
    <n v="0"/>
    <n v="0"/>
    <n v="106.97"/>
    <n v="0"/>
    <n v="0"/>
    <n v="0"/>
    <n v="1426.39"/>
    <n v="0"/>
    <n v="0"/>
    <n v="0"/>
    <n v="0"/>
    <n v="53.03"/>
    <n v="285.27999999999997"/>
    <n v="82.73"/>
    <n v="528.01"/>
    <n v="0"/>
    <n v="0"/>
    <s v="ERICK ANTONNY DE JESUS SANTOS"/>
    <n v="1426.39"/>
    <n v="114.11"/>
    <n v="0"/>
    <n v="0"/>
    <s v="ERICK ANTONNY DE JESUS SANTOS"/>
    <n v="1426.39"/>
    <n v="106.97"/>
    <n v="0"/>
    <n v="0"/>
  </r>
  <r>
    <s v="Erinaldo Ferreira Guterres"/>
    <x v="9"/>
    <s v="P"/>
    <s v="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m/>
    <m/>
    <m/>
    <m/>
    <m/>
  </r>
  <r>
    <s v="FABIANO DA CONCEICAO"/>
    <x v="1"/>
    <s v="A"/>
    <s v="N"/>
    <n v="6075.86"/>
    <n v="0"/>
    <n v="0"/>
    <n v="0"/>
    <n v="0"/>
    <n v="486.07"/>
    <n v="0"/>
    <n v="0"/>
    <n v="0"/>
    <n v="0"/>
    <n v="6075.86"/>
    <n v="0"/>
    <n v="0"/>
    <n v="652.12"/>
    <n v="0"/>
    <n v="0"/>
    <n v="0"/>
    <n v="6075.86"/>
    <n v="0"/>
    <n v="413.14"/>
    <n v="0"/>
    <n v="0"/>
    <n v="225.89"/>
    <n v="1215.17"/>
    <n v="352.4"/>
    <n v="2445.59"/>
    <n v="0"/>
    <n v="9.9999999999909051E-3"/>
    <s v="FABIANO DA CONCEICAO"/>
    <n v="6075.86"/>
    <n v="486.06"/>
    <n v="0"/>
    <n v="0"/>
    <s v="FABIANO DA CONCEICAO"/>
    <n v="6075.86"/>
    <n v="652.12"/>
    <n v="0"/>
    <n v="0"/>
  </r>
  <r>
    <s v="Fabiano Dacie"/>
    <x v="9"/>
    <s v="A"/>
    <s v="N"/>
    <n v="3988.92"/>
    <n v="0"/>
    <n v="0"/>
    <n v="0"/>
    <n v="0"/>
    <n v="319.11"/>
    <n v="0"/>
    <n v="0"/>
    <n v="0"/>
    <n v="0"/>
    <n v="3988.92"/>
    <n v="0"/>
    <n v="0"/>
    <n v="367.25"/>
    <n v="0"/>
    <n v="0"/>
    <n v="0"/>
    <n v="3988.92"/>
    <n v="0"/>
    <n v="0"/>
    <n v="0"/>
    <n v="0"/>
    <n v="148.30000000000001"/>
    <n v="797.78"/>
    <n v="231.36"/>
    <n v="1544.7"/>
    <n v="0"/>
    <n v="0"/>
    <s v="FABIANO DACIE"/>
    <n v="3988.92"/>
    <n v="319.11"/>
    <n v="0"/>
    <n v="0"/>
    <s v="FABIANO DACIE"/>
    <n v="3988.92"/>
    <n v="367.25"/>
    <n v="0"/>
    <n v="0"/>
  </r>
  <r>
    <s v="FABRICIO DE JESUS"/>
    <x v="13"/>
    <s v="A"/>
    <s v="N"/>
    <n v="2323.8000000000002"/>
    <n v="0"/>
    <n v="0"/>
    <n v="0"/>
    <n v="0"/>
    <n v="185.9"/>
    <n v="0"/>
    <n v="0"/>
    <n v="0"/>
    <n v="0"/>
    <n v="2323.8000000000002"/>
    <n v="0"/>
    <n v="0"/>
    <n v="184.82"/>
    <n v="0"/>
    <n v="0"/>
    <n v="0"/>
    <n v="2323.8000000000002"/>
    <n v="0"/>
    <n v="0"/>
    <n v="0"/>
    <n v="0"/>
    <n v="86.4"/>
    <n v="464.76"/>
    <n v="134.78"/>
    <n v="870.76"/>
    <n v="0"/>
    <n v="0"/>
    <s v="FABRICIO DE JESUS"/>
    <n v="2323.8000000000002"/>
    <n v="185.9"/>
    <n v="0"/>
    <n v="0"/>
    <s v="FABRICIO DE JESUS"/>
    <n v="2323.8000000000002"/>
    <n v="184.82"/>
    <n v="0"/>
    <n v="0"/>
  </r>
  <r>
    <s v="FERNANDA MONISE DIAS QUEIROZ"/>
    <x v="10"/>
    <s v="A"/>
    <s v="N"/>
    <n v="1070.01"/>
    <n v="0"/>
    <n v="0"/>
    <n v="0"/>
    <n v="0"/>
    <n v="85.6"/>
    <n v="0"/>
    <n v="0"/>
    <n v="0"/>
    <n v="0"/>
    <n v="1070.01"/>
    <n v="0"/>
    <n v="0"/>
    <n v="80.25"/>
    <n v="0"/>
    <n v="0"/>
    <n v="0"/>
    <n v="1070.01"/>
    <n v="0"/>
    <n v="0"/>
    <n v="0"/>
    <n v="0"/>
    <n v="39.78"/>
    <n v="214"/>
    <n v="62.06"/>
    <n v="396.09"/>
    <n v="0"/>
    <n v="0"/>
    <s v="FERNANDA MONISE DIAS QUEIROZ"/>
    <n v="1070.01"/>
    <n v="85.6"/>
    <n v="0"/>
    <n v="0"/>
    <s v="FERNANDA MONISE DIAS QUEIROZ"/>
    <n v="1070.01"/>
    <n v="80.25"/>
    <n v="0"/>
    <n v="0"/>
  </r>
  <r>
    <s v="FERNANDO DE JESUS RIBEIRO PINTO"/>
    <x v="11"/>
    <s v="A"/>
    <s v="N"/>
    <n v="3002.16"/>
    <n v="0"/>
    <n v="0"/>
    <n v="0"/>
    <n v="0"/>
    <n v="240.17"/>
    <n v="0"/>
    <n v="0"/>
    <n v="0"/>
    <n v="0"/>
    <n v="3002.16"/>
    <n v="0"/>
    <n v="0"/>
    <n v="248.84"/>
    <n v="0"/>
    <n v="0"/>
    <n v="0"/>
    <n v="3002.16"/>
    <n v="0"/>
    <n v="0"/>
    <n v="0"/>
    <n v="0"/>
    <n v="111.62"/>
    <n v="600.42999999999995"/>
    <n v="174.13"/>
    <n v="1135.01"/>
    <n v="0"/>
    <n v="0"/>
    <s v="FERNANDO DE JESUS RIBEIRO PINTO"/>
    <n v="3002.16"/>
    <n v="240.17"/>
    <n v="0"/>
    <n v="0"/>
    <s v="FERNANDO DE JESUS RIBEIRO PINTO"/>
    <n v="3002.16"/>
    <n v="248.84"/>
    <n v="0"/>
    <n v="0"/>
  </r>
  <r>
    <s v="FERNANDO URBANO"/>
    <x v="11"/>
    <s v="A"/>
    <s v="N"/>
    <n v="3016.46"/>
    <n v="0"/>
    <n v="0"/>
    <n v="0"/>
    <n v="0"/>
    <n v="241.32"/>
    <n v="0"/>
    <n v="0"/>
    <n v="0"/>
    <n v="0"/>
    <n v="3016.46"/>
    <n v="0"/>
    <n v="0"/>
    <n v="250.56"/>
    <n v="0"/>
    <n v="0"/>
    <n v="0"/>
    <n v="3016.46"/>
    <n v="0"/>
    <n v="0"/>
    <n v="0"/>
    <n v="0"/>
    <n v="112.15"/>
    <n v="603.29"/>
    <n v="174.95"/>
    <n v="1140.96"/>
    <n v="0"/>
    <n v="9.9999999999909051E-3"/>
    <s v="FERNANDO URBANO"/>
    <n v="3016.46"/>
    <n v="241.31"/>
    <n v="0"/>
    <n v="0"/>
    <s v="FERNANDO URBANO"/>
    <n v="3016.46"/>
    <n v="250.56"/>
    <n v="0"/>
    <n v="0"/>
  </r>
  <r>
    <s v="GABRIEL RIBEIRO DA SILVA"/>
    <x v="4"/>
    <s v="A"/>
    <s v="N"/>
    <n v="2354.0100000000002"/>
    <n v="0"/>
    <n v="0"/>
    <n v="0"/>
    <n v="0"/>
    <n v="188.32"/>
    <n v="0"/>
    <n v="0"/>
    <n v="0"/>
    <n v="0"/>
    <n v="2354.0100000000002"/>
    <n v="0"/>
    <n v="0"/>
    <n v="187.54"/>
    <n v="0"/>
    <n v="0"/>
    <n v="0"/>
    <n v="2354.0100000000002"/>
    <n v="0"/>
    <n v="0"/>
    <n v="0"/>
    <n v="0"/>
    <n v="87.52"/>
    <n v="470.8"/>
    <n v="136.53"/>
    <n v="882.39"/>
    <n v="0"/>
    <n v="0"/>
    <s v="GABRIEL RIBEIRO DA SILVA"/>
    <n v="2354.0100000000002"/>
    <n v="188.32"/>
    <n v="0"/>
    <n v="0"/>
    <s v="GABRIEL RIBEIRO DA SILVA"/>
    <n v="2354.0100000000002"/>
    <n v="187.54"/>
    <n v="0"/>
    <n v="0"/>
  </r>
  <r>
    <s v="GELSON TORRACA DUTRA"/>
    <x v="5"/>
    <s v="A"/>
    <s v="N"/>
    <n v="6000"/>
    <n v="0"/>
    <n v="0"/>
    <n v="0"/>
    <n v="0"/>
    <n v="480"/>
    <n v="0"/>
    <n v="0"/>
    <n v="0"/>
    <n v="0"/>
    <n v="6000"/>
    <n v="0"/>
    <n v="0"/>
    <n v="641.5"/>
    <n v="0"/>
    <n v="0"/>
    <n v="0"/>
    <n v="6000"/>
    <n v="0"/>
    <n v="385.1"/>
    <n v="0"/>
    <n v="0"/>
    <n v="223.07"/>
    <n v="1200"/>
    <n v="348"/>
    <n v="2412.5700000000002"/>
    <n v="0"/>
    <n v="0"/>
    <s v="GELSON TORRACA DUTRA"/>
    <n v="6000"/>
    <n v="480"/>
    <n v="0"/>
    <n v="0"/>
    <s v="GELSON TORRACA DUTRA"/>
    <n v="6000"/>
    <n v="641.5"/>
    <n v="0"/>
    <n v="0"/>
  </r>
  <r>
    <s v="GEOVANE DA SILVA MOREIRA"/>
    <x v="0"/>
    <s v="A"/>
    <s v="N"/>
    <n v="2435.5"/>
    <n v="0"/>
    <n v="0"/>
    <n v="0"/>
    <n v="0"/>
    <n v="194.84"/>
    <n v="0"/>
    <n v="0"/>
    <n v="0"/>
    <n v="0"/>
    <n v="2435.5"/>
    <n v="0"/>
    <n v="0"/>
    <n v="194.87"/>
    <n v="0"/>
    <n v="0"/>
    <n v="0"/>
    <n v="2435.5"/>
    <n v="0"/>
    <n v="0"/>
    <n v="0"/>
    <n v="0"/>
    <n v="90.55"/>
    <n v="487.1"/>
    <n v="141.26"/>
    <n v="913.78"/>
    <n v="0"/>
    <n v="0"/>
    <s v="GEOVANE DA SILVA MOREIRA"/>
    <n v="2435.5"/>
    <n v="194.84"/>
    <n v="0"/>
    <n v="0"/>
    <s v="GEOVANE DA SILVA MOREIRA"/>
    <n v="2435.5"/>
    <n v="194.87"/>
    <n v="0"/>
    <n v="0"/>
  </r>
  <r>
    <s v="GEOVANE DO CARMO MARQUES"/>
    <x v="2"/>
    <s v="A"/>
    <s v="N"/>
    <n v="1627.12"/>
    <n v="0"/>
    <n v="0"/>
    <n v="0"/>
    <n v="0"/>
    <n v="130.16999999999999"/>
    <n v="0"/>
    <n v="0"/>
    <n v="0"/>
    <n v="0"/>
    <n v="1627.12"/>
    <n v="0"/>
    <n v="0"/>
    <n v="122.12"/>
    <n v="0"/>
    <n v="0"/>
    <n v="0"/>
    <n v="1627.12"/>
    <n v="0"/>
    <n v="0"/>
    <n v="0"/>
    <n v="0"/>
    <n v="60.49"/>
    <n v="325.42"/>
    <n v="94.37"/>
    <n v="602.41"/>
    <n v="0"/>
    <n v="9.9999999999909051E-3"/>
    <s v="GEOVANE DO CARMO MARQUES"/>
    <n v="1627.12"/>
    <n v="130.16"/>
    <n v="0"/>
    <n v="0"/>
    <s v="GEOVANE DO CARMO MARQUES"/>
    <n v="1627.12"/>
    <n v="122.12"/>
    <n v="0"/>
    <n v="0"/>
  </r>
  <r>
    <s v="Gilberto Barbosa"/>
    <x v="9"/>
    <s v="A"/>
    <s v="N"/>
    <n v="3233.36"/>
    <n v="0"/>
    <n v="0"/>
    <n v="0"/>
    <n v="0"/>
    <n v="258.67"/>
    <n v="0"/>
    <n v="0"/>
    <n v="0"/>
    <n v="0"/>
    <n v="3233.36"/>
    <n v="0"/>
    <n v="0"/>
    <n v="276.58999999999997"/>
    <n v="0"/>
    <n v="0"/>
    <n v="0"/>
    <n v="3233.36"/>
    <n v="0"/>
    <n v="0"/>
    <n v="0"/>
    <n v="0"/>
    <n v="120.21"/>
    <n v="646.66999999999996"/>
    <n v="187.53"/>
    <n v="1231.01"/>
    <n v="0"/>
    <n v="9.9999999999909051E-3"/>
    <s v="GILBERTO BARBOSA"/>
    <n v="3233.36"/>
    <n v="258.66000000000003"/>
    <n v="0"/>
    <n v="0"/>
    <s v="GILBERTO BARBOSA"/>
    <n v="3233.36"/>
    <n v="276.58999999999997"/>
    <n v="0"/>
    <n v="0"/>
  </r>
  <r>
    <s v="GILBERTO RAFAEL LEPAGE PEREZ"/>
    <x v="1"/>
    <s v="A"/>
    <s v="N"/>
    <n v="3471.25"/>
    <n v="0"/>
    <n v="0"/>
    <n v="0"/>
    <n v="0"/>
    <n v="277.7"/>
    <n v="0"/>
    <n v="0"/>
    <n v="0"/>
    <n v="0"/>
    <n v="3471.25"/>
    <n v="0"/>
    <n v="0"/>
    <n v="305.13"/>
    <n v="0"/>
    <n v="0"/>
    <n v="0"/>
    <n v="3471.25"/>
    <n v="0"/>
    <n v="0"/>
    <n v="0"/>
    <n v="0"/>
    <n v="129.06"/>
    <n v="694.25"/>
    <n v="201.33"/>
    <n v="1329.77"/>
    <n v="0"/>
    <n v="0"/>
    <s v="GILBERTO RAFAEL LEPAGE PEREZ"/>
    <n v="3471.25"/>
    <n v="277.7"/>
    <n v="0"/>
    <n v="0"/>
    <s v="GILBERTO RAFAEL LEPAGE PEREZ"/>
    <n v="3471.25"/>
    <n v="305.13"/>
    <n v="0"/>
    <n v="0"/>
  </r>
  <r>
    <s v="GILMAR DE SOUZA OLIVEIRA"/>
    <x v="1"/>
    <s v="A"/>
    <s v="N"/>
    <n v="3165.68"/>
    <n v="0"/>
    <n v="0"/>
    <n v="0"/>
    <n v="0"/>
    <n v="253.25"/>
    <n v="0"/>
    <n v="0"/>
    <n v="0"/>
    <n v="0"/>
    <n v="3165.68"/>
    <n v="0"/>
    <n v="0"/>
    <n v="268.47000000000003"/>
    <n v="0"/>
    <n v="0"/>
    <n v="0"/>
    <n v="3165.68"/>
    <n v="0"/>
    <n v="0"/>
    <n v="0"/>
    <n v="0"/>
    <n v="117.7"/>
    <n v="633.14"/>
    <n v="183.61"/>
    <n v="1202.9100000000001"/>
    <n v="0"/>
    <n v="0"/>
    <s v="GILMAR DE SOUZA OLIVEIRA"/>
    <n v="3165.68"/>
    <n v="253.25"/>
    <n v="0"/>
    <n v="0"/>
    <s v="GILMAR DE SOUZA OLIVEIRA"/>
    <n v="3165.68"/>
    <n v="268.47000000000003"/>
    <n v="0"/>
    <n v="0"/>
  </r>
  <r>
    <s v="GILNACIO SILVA FLOR"/>
    <x v="13"/>
    <s v="A"/>
    <s v="N"/>
    <n v="4081.23"/>
    <n v="0"/>
    <n v="0"/>
    <n v="0"/>
    <n v="0"/>
    <n v="326.5"/>
    <n v="0"/>
    <n v="0"/>
    <n v="0"/>
    <n v="0"/>
    <n v="4081.23"/>
    <n v="0"/>
    <n v="0"/>
    <n v="378.33"/>
    <n v="0"/>
    <n v="0"/>
    <n v="0"/>
    <n v="4081.23"/>
    <n v="0"/>
    <n v="0"/>
    <n v="0"/>
    <n v="0"/>
    <n v="151.74"/>
    <n v="816.25"/>
    <n v="236.71"/>
    <n v="1583.02"/>
    <n v="0"/>
    <n v="9.9999999999909051E-3"/>
    <s v="GILNACIO SILVA FLOR"/>
    <n v="4081.23"/>
    <n v="326.49"/>
    <n v="0"/>
    <n v="0"/>
    <s v="GILNACIO SILVA FLOR"/>
    <n v="4081.23"/>
    <n v="378.33"/>
    <n v="0"/>
    <n v="0"/>
  </r>
  <r>
    <s v="GISLAINE CRISTINA OLIVEIRA DA SILVA"/>
    <x v="5"/>
    <s v="A"/>
    <s v="N"/>
    <n v="2164.8000000000002"/>
    <n v="0"/>
    <n v="0"/>
    <n v="0"/>
    <n v="0"/>
    <n v="173.18"/>
    <n v="0"/>
    <n v="0"/>
    <n v="0"/>
    <n v="0"/>
    <n v="2164.8000000000002"/>
    <n v="0"/>
    <n v="0"/>
    <n v="170.51"/>
    <n v="0"/>
    <n v="0"/>
    <n v="0"/>
    <n v="2164.8000000000002"/>
    <n v="0"/>
    <n v="0"/>
    <n v="0"/>
    <n v="0"/>
    <n v="80.489999999999995"/>
    <n v="432.96"/>
    <n v="125.56"/>
    <n v="809.51"/>
    <n v="0"/>
    <n v="0"/>
    <s v="GISLAINE CRISTINA OLIVEIRA DA SILVA"/>
    <n v="2164.8000000000002"/>
    <n v="173.18"/>
    <n v="0"/>
    <n v="0"/>
    <s v="GISLAINE CRISTINA OLIVEIRA DA SILVA"/>
    <n v="2164.8000000000002"/>
    <n v="170.51"/>
    <n v="0"/>
    <n v="0"/>
  </r>
  <r>
    <s v="GOLDOFREDO DA SILVA"/>
    <x v="7"/>
    <s v="A"/>
    <s v="N"/>
    <n v="2889.12"/>
    <n v="0"/>
    <n v="0"/>
    <n v="0"/>
    <n v="0"/>
    <n v="231.13"/>
    <n v="0"/>
    <n v="0"/>
    <n v="0"/>
    <n v="0"/>
    <n v="2889.12"/>
    <n v="0"/>
    <n v="0"/>
    <n v="235.7"/>
    <n v="0"/>
    <n v="0"/>
    <n v="0"/>
    <n v="2889.12"/>
    <n v="0"/>
    <n v="0"/>
    <n v="0"/>
    <n v="0"/>
    <n v="107.41"/>
    <n v="577.82000000000005"/>
    <n v="167.57"/>
    <n v="1088.51"/>
    <n v="0"/>
    <n v="9.9999999999909051E-3"/>
    <s v="GOLDOFREDO DA SILVA"/>
    <n v="2889.12"/>
    <n v="231.12"/>
    <n v="0"/>
    <n v="0"/>
    <s v="GOLDOFREDO DA SILVA"/>
    <n v="2889.12"/>
    <n v="235.7"/>
    <n v="0"/>
    <n v="0"/>
  </r>
  <r>
    <s v="GUILHERME DOS SANTOS CAVALCANTE"/>
    <x v="1"/>
    <s v="A"/>
    <s v="N"/>
    <n v="2898.52"/>
    <n v="0"/>
    <n v="0"/>
    <n v="0"/>
    <n v="0"/>
    <n v="231.88"/>
    <n v="0"/>
    <n v="0"/>
    <n v="0"/>
    <n v="0"/>
    <n v="2898.52"/>
    <n v="0"/>
    <n v="0"/>
    <n v="236.54"/>
    <n v="0"/>
    <n v="0"/>
    <n v="0"/>
    <n v="2898.52"/>
    <n v="0"/>
    <n v="0"/>
    <n v="0"/>
    <n v="0"/>
    <n v="107.76"/>
    <n v="579.70000000000005"/>
    <n v="168.11"/>
    <n v="1092.1199999999999"/>
    <n v="0"/>
    <n v="0"/>
    <s v="GUILHERME DOS SANTOS CAVALCANTE"/>
    <n v="2898.52"/>
    <n v="231.88"/>
    <n v="0"/>
    <n v="0"/>
    <s v="GUILHERME DOS SANTOS CAVALCANTE"/>
    <n v="2898.52"/>
    <n v="236.54"/>
    <n v="0"/>
    <n v="0"/>
  </r>
  <r>
    <s v="GUILHERME GABRIEL PARRA"/>
    <x v="0"/>
    <s v="A"/>
    <s v="N"/>
    <n v="3198.87"/>
    <n v="0"/>
    <n v="0"/>
    <n v="0"/>
    <n v="0"/>
    <n v="255.91"/>
    <n v="0"/>
    <n v="0"/>
    <n v="0"/>
    <n v="0"/>
    <n v="3198.87"/>
    <n v="0"/>
    <n v="0"/>
    <n v="272.45"/>
    <n v="0"/>
    <n v="0"/>
    <n v="0"/>
    <n v="3198.87"/>
    <n v="0"/>
    <n v="0"/>
    <n v="0"/>
    <n v="0"/>
    <n v="118.93"/>
    <n v="639.77"/>
    <n v="185.53"/>
    <n v="1216.69"/>
    <n v="0"/>
    <n v="9.9999999999909051E-3"/>
    <s v="GUILHERME GABRIEL PARRA"/>
    <n v="3198.87"/>
    <n v="255.9"/>
    <n v="0"/>
    <n v="0"/>
    <s v="GUILHERME GABRIEL PARRA"/>
    <n v="3198.87"/>
    <n v="272.45"/>
    <n v="0"/>
    <n v="0"/>
  </r>
  <r>
    <s v="GUILHERME PEDRO RODRIGUES"/>
    <x v="2"/>
    <s v="A"/>
    <s v="N"/>
    <n v="2400"/>
    <n v="0"/>
    <n v="0"/>
    <n v="0"/>
    <n v="0"/>
    <n v="192"/>
    <n v="0"/>
    <n v="0"/>
    <n v="0"/>
    <n v="0"/>
    <n v="2400"/>
    <n v="0"/>
    <n v="0"/>
    <n v="191.68"/>
    <n v="0"/>
    <n v="0"/>
    <n v="0"/>
    <n v="2400"/>
    <n v="0"/>
    <n v="0"/>
    <n v="0"/>
    <n v="0"/>
    <n v="89.23"/>
    <n v="480"/>
    <n v="139.19999999999999"/>
    <n v="900.11"/>
    <n v="0"/>
    <n v="0"/>
    <s v="GUILHERME PEDRO RODRIGUES"/>
    <n v="2400"/>
    <n v="192"/>
    <n v="0"/>
    <n v="0"/>
    <s v="GUILHERME PEDRO RODRIGUES"/>
    <n v="2400"/>
    <n v="191.68"/>
    <n v="0"/>
    <n v="0"/>
  </r>
  <r>
    <s v="GUSTAVO AUGUSTO LUZ"/>
    <x v="12"/>
    <s v="A"/>
    <s v="N"/>
    <n v="2283.0500000000002"/>
    <n v="0"/>
    <n v="0"/>
    <n v="0"/>
    <n v="0"/>
    <n v="182.64"/>
    <n v="0"/>
    <n v="0"/>
    <n v="0"/>
    <n v="0"/>
    <n v="2283.0500000000002"/>
    <n v="0"/>
    <n v="0"/>
    <n v="181.15"/>
    <n v="0"/>
    <n v="0"/>
    <n v="0"/>
    <n v="1452.64"/>
    <n v="0"/>
    <n v="0"/>
    <n v="0"/>
    <n v="0"/>
    <n v="84.88"/>
    <n v="456.61"/>
    <n v="132.41999999999999"/>
    <n v="855.06"/>
    <n v="0"/>
    <n v="0"/>
    <s v="GUSTAVO AUGUSTO LUZ"/>
    <n v="2283.0500000000002"/>
    <n v="182.64"/>
    <n v="0"/>
    <n v="0"/>
    <s v="GUSTAVO AUGUSTO LUZ"/>
    <n v="2283.0500000000002"/>
    <n v="181.15"/>
    <n v="0"/>
    <n v="0"/>
  </r>
  <r>
    <s v="GUSTAVO HENRIQUE DE SOUZA LEAL"/>
    <x v="5"/>
    <s v="A"/>
    <s v="N"/>
    <n v="2918.69"/>
    <n v="0"/>
    <n v="0"/>
    <n v="0"/>
    <n v="0"/>
    <n v="233.5"/>
    <n v="0"/>
    <n v="0"/>
    <n v="0"/>
    <n v="0"/>
    <n v="2918.69"/>
    <n v="0"/>
    <n v="0"/>
    <n v="238.83"/>
    <n v="0"/>
    <n v="0"/>
    <n v="0"/>
    <n v="2918.69"/>
    <n v="0"/>
    <n v="0"/>
    <n v="0"/>
    <n v="0"/>
    <n v="108.51"/>
    <n v="583.74"/>
    <n v="169.28"/>
    <n v="1100.3699999999999"/>
    <n v="0"/>
    <n v="9.9999999999909051E-3"/>
    <s v="GUSTAVO HENRIQUE DE SOUZA LEAL"/>
    <n v="2918.69"/>
    <n v="233.49"/>
    <n v="0"/>
    <n v="0"/>
    <s v="GUSTAVO HENRIQUE DE SOUZA LEAL"/>
    <n v="2918.69"/>
    <n v="238.83"/>
    <n v="0"/>
    <n v="0"/>
  </r>
  <r>
    <s v="IATAN PEREIRA CRUZ"/>
    <x v="14"/>
    <s v="P"/>
    <s v="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m/>
    <m/>
    <m/>
    <m/>
    <m/>
  </r>
  <r>
    <s v="ISMAEL CESAR DE SOUZA ESPIRITO SANTO"/>
    <x v="1"/>
    <s v="A"/>
    <s v="N"/>
    <n v="6386.04"/>
    <n v="0"/>
    <n v="0"/>
    <n v="0"/>
    <n v="0"/>
    <n v="510.88"/>
    <n v="0"/>
    <n v="0"/>
    <n v="0"/>
    <n v="0"/>
    <n v="6386.04"/>
    <n v="0"/>
    <n v="0"/>
    <n v="695.54"/>
    <n v="0"/>
    <n v="0"/>
    <n v="0"/>
    <n v="6386.04"/>
    <n v="0"/>
    <n v="527.79999999999995"/>
    <n v="0"/>
    <n v="0"/>
    <n v="237.43"/>
    <n v="1277.21"/>
    <n v="370.39"/>
    <n v="2580.56"/>
    <n v="0"/>
    <n v="0"/>
    <s v="ISMAEL CESAR DE SOUZA ESPIRITO SANTO"/>
    <n v="6386.04"/>
    <n v="510.88"/>
    <n v="0"/>
    <n v="0"/>
    <s v="ISMAEL CESAR DE SOUZA ESPIRITO SANTO"/>
    <n v="6386.04"/>
    <n v="695.54"/>
    <n v="0"/>
    <n v="0"/>
  </r>
  <r>
    <s v="ISRAEL BORGES DA SILVA"/>
    <x v="1"/>
    <s v="A"/>
    <s v="N"/>
    <n v="3748.94"/>
    <n v="0"/>
    <n v="0"/>
    <n v="0"/>
    <n v="0"/>
    <n v="299.92"/>
    <n v="0"/>
    <n v="0"/>
    <n v="0"/>
    <n v="0"/>
    <n v="3748.94"/>
    <n v="0"/>
    <n v="0"/>
    <n v="338.46"/>
    <n v="0"/>
    <n v="0"/>
    <n v="0"/>
    <n v="3748.94"/>
    <n v="0"/>
    <n v="0"/>
    <n v="0"/>
    <n v="0"/>
    <n v="139.38"/>
    <n v="749.79"/>
    <n v="217.44"/>
    <n v="1445.07"/>
    <n v="0"/>
    <n v="9.9999999999909051E-3"/>
    <s v="ISRAEL BORGES DA SILVA"/>
    <n v="3748.94"/>
    <n v="299.91000000000003"/>
    <n v="0"/>
    <n v="0"/>
    <s v="ISRAEL BORGES DA SILVA"/>
    <n v="3748.94"/>
    <n v="338.46"/>
    <n v="0"/>
    <n v="0"/>
  </r>
  <r>
    <s v="ISRAEL NOGUEIRA RODRIGUES"/>
    <x v="12"/>
    <s v="A"/>
    <s v="N"/>
    <n v="1800.11"/>
    <n v="0"/>
    <n v="0"/>
    <n v="0"/>
    <n v="0"/>
    <n v="144.01"/>
    <n v="0"/>
    <n v="0"/>
    <n v="0"/>
    <n v="0"/>
    <n v="1800.11"/>
    <n v="0"/>
    <n v="0"/>
    <n v="137.68"/>
    <n v="0"/>
    <n v="0"/>
    <n v="0"/>
    <n v="1800.11"/>
    <n v="0"/>
    <n v="0"/>
    <n v="0"/>
    <n v="0"/>
    <n v="66.930000000000007"/>
    <n v="360.02"/>
    <n v="104.41"/>
    <n v="669.03"/>
    <n v="0"/>
    <n v="9.9999999999909051E-3"/>
    <s v="ISRAEL NOGUEIRA RODRIGUES"/>
    <n v="1800.11"/>
    <n v="144"/>
    <n v="0"/>
    <n v="0"/>
    <s v="ISRAEL NOGUEIRA RODRIGUES"/>
    <n v="1800.11"/>
    <n v="137.68"/>
    <n v="0"/>
    <n v="0"/>
  </r>
  <r>
    <s v="ITAMAR FERREIRA PINTO"/>
    <x v="6"/>
    <s v="A"/>
    <s v="N"/>
    <n v="3925.12"/>
    <n v="0"/>
    <n v="0"/>
    <n v="0"/>
    <n v="0"/>
    <n v="314.01"/>
    <n v="0"/>
    <n v="0"/>
    <n v="0"/>
    <n v="0"/>
    <n v="3925.12"/>
    <n v="0"/>
    <n v="0"/>
    <n v="359.6"/>
    <n v="0"/>
    <n v="0"/>
    <n v="0"/>
    <n v="3925.12"/>
    <n v="0"/>
    <n v="0"/>
    <n v="0"/>
    <n v="0"/>
    <n v="145.93"/>
    <n v="785.02"/>
    <n v="227.66"/>
    <n v="1518.21"/>
    <n v="0"/>
    <n v="9.9999999999909051E-3"/>
    <s v="ITAMAR FERREIRA PINTO"/>
    <n v="3925.12"/>
    <n v="314"/>
    <n v="0"/>
    <n v="0"/>
    <s v="ITAMAR FERREIRA PINTO"/>
    <n v="3925.12"/>
    <n v="359.6"/>
    <n v="0"/>
    <n v="0"/>
  </r>
  <r>
    <s v="IURI NEVES CAVALCANTE"/>
    <x v="1"/>
    <s v="A"/>
    <s v="N"/>
    <n v="3549.3"/>
    <n v="0"/>
    <n v="0"/>
    <n v="0"/>
    <n v="0"/>
    <n v="283.94"/>
    <n v="0"/>
    <n v="0"/>
    <n v="0"/>
    <n v="0"/>
    <n v="3549.3"/>
    <n v="0"/>
    <n v="0"/>
    <n v="314.5"/>
    <n v="0"/>
    <n v="0"/>
    <n v="0"/>
    <n v="3549.3"/>
    <n v="0"/>
    <n v="0"/>
    <n v="0"/>
    <n v="0"/>
    <n v="131.96"/>
    <n v="709.86"/>
    <n v="205.86"/>
    <n v="1362.18"/>
    <n v="0"/>
    <n v="0"/>
    <s v="IURI NEVES CAVALCANTE"/>
    <n v="3549.3"/>
    <n v="283.94"/>
    <n v="0"/>
    <n v="0"/>
    <s v="IURI NEVES CAVALCANTE"/>
    <n v="3549.3"/>
    <n v="314.5"/>
    <n v="0"/>
    <n v="0"/>
  </r>
  <r>
    <s v="IVANILDO RODRIGUES DE SOUZA"/>
    <x v="1"/>
    <s v="A"/>
    <s v="N"/>
    <n v="7175.48"/>
    <n v="0"/>
    <n v="0"/>
    <n v="0"/>
    <n v="0"/>
    <n v="574.04"/>
    <n v="0"/>
    <n v="0"/>
    <n v="0"/>
    <n v="0"/>
    <n v="7175.48"/>
    <n v="0"/>
    <n v="0"/>
    <n v="806.06"/>
    <n v="0"/>
    <n v="0"/>
    <n v="0"/>
    <n v="7175.48"/>
    <n v="0"/>
    <n v="819.61"/>
    <n v="0"/>
    <n v="0"/>
    <n v="266.77999999999997"/>
    <n v="1435.1"/>
    <n v="416.18"/>
    <n v="2924.11"/>
    <n v="0"/>
    <n v="9.9999999999909051E-3"/>
    <s v="IVANILDO RODRIGUES DE SOUZA"/>
    <n v="7175.48"/>
    <n v="574.03"/>
    <n v="0"/>
    <n v="0"/>
    <s v="IVANILDO RODRIGUES DE SOUZA"/>
    <n v="7175.48"/>
    <n v="806.06"/>
    <n v="0"/>
    <n v="0"/>
  </r>
  <r>
    <s v="JACKSON ALMANDO DEMOSTHENES"/>
    <x v="1"/>
    <s v="A"/>
    <s v="N"/>
    <n v="3969.81"/>
    <n v="0"/>
    <n v="0"/>
    <n v="0"/>
    <n v="0"/>
    <n v="317.58"/>
    <n v="0"/>
    <n v="0"/>
    <n v="0"/>
    <n v="0"/>
    <n v="3969.81"/>
    <n v="0"/>
    <n v="0"/>
    <n v="364.96"/>
    <n v="0"/>
    <n v="0"/>
    <n v="0"/>
    <n v="3969.81"/>
    <n v="0"/>
    <n v="0"/>
    <n v="0"/>
    <n v="0"/>
    <n v="147.59"/>
    <n v="793.96"/>
    <n v="230.25"/>
    <n v="1536.76"/>
    <n v="0"/>
    <n v="0"/>
    <s v="JACKSON ALMANDO DEMOSTHENES"/>
    <n v="3969.81"/>
    <n v="317.58"/>
    <n v="0"/>
    <n v="0"/>
    <s v="JACKSON ALMANDO DEMOSTHENES"/>
    <n v="3969.81"/>
    <n v="364.96"/>
    <n v="0"/>
    <n v="0"/>
  </r>
  <r>
    <s v="JAIR TEIXEIRA"/>
    <x v="1"/>
    <s v="A"/>
    <s v="N"/>
    <n v="6570.98"/>
    <n v="0"/>
    <n v="0"/>
    <n v="0"/>
    <n v="0"/>
    <n v="525.67999999999995"/>
    <n v="0"/>
    <n v="0"/>
    <n v="0"/>
    <n v="0"/>
    <n v="6570.98"/>
    <n v="0"/>
    <n v="0"/>
    <n v="721.43"/>
    <n v="0"/>
    <n v="0"/>
    <n v="0"/>
    <n v="6570.98"/>
    <n v="0"/>
    <n v="596.16"/>
    <n v="0"/>
    <n v="0"/>
    <n v="244.3"/>
    <n v="1314.2"/>
    <n v="381.12"/>
    <n v="2661.05"/>
    <n v="0"/>
    <n v="9.9999999999909051E-3"/>
    <s v="JAIR TEIXEIRA"/>
    <n v="6570.98"/>
    <n v="525.66999999999996"/>
    <n v="0"/>
    <n v="0"/>
    <s v="JAIR TEIXEIRA"/>
    <n v="6570.98"/>
    <n v="721.43"/>
    <n v="0"/>
    <n v="0"/>
  </r>
  <r>
    <s v="JAMES CARVALHO ALMEIDA"/>
    <x v="1"/>
    <s v="A"/>
    <s v="N"/>
    <n v="3840.5"/>
    <n v="0"/>
    <n v="0"/>
    <n v="0"/>
    <n v="0"/>
    <n v="307.24"/>
    <n v="0"/>
    <n v="0"/>
    <n v="0"/>
    <n v="0"/>
    <n v="3840.5"/>
    <n v="0"/>
    <n v="0"/>
    <n v="349.44"/>
    <n v="0"/>
    <n v="0"/>
    <n v="0"/>
    <n v="3840.5"/>
    <n v="0"/>
    <n v="0"/>
    <n v="0"/>
    <n v="0"/>
    <n v="142.79"/>
    <n v="768.1"/>
    <n v="222.75"/>
    <n v="1483.07"/>
    <n v="0"/>
    <n v="0"/>
    <s v="JAMES CARVALHO ALMEIDA"/>
    <n v="3840.5"/>
    <n v="307.24"/>
    <n v="0"/>
    <n v="0"/>
    <s v="JAMES CARVALHO ALMEIDA"/>
    <n v="3840.5"/>
    <n v="349.44"/>
    <n v="0"/>
    <n v="0"/>
  </r>
  <r>
    <s v="JEFF ALCIUS"/>
    <x v="1"/>
    <s v="A"/>
    <s v="N"/>
    <n v="6560.79"/>
    <n v="0"/>
    <n v="0"/>
    <n v="0"/>
    <n v="0"/>
    <n v="524.86"/>
    <n v="0"/>
    <n v="0"/>
    <n v="0"/>
    <n v="0"/>
    <n v="6560.79"/>
    <n v="0"/>
    <n v="0"/>
    <n v="720.01"/>
    <n v="0"/>
    <n v="0"/>
    <n v="0"/>
    <n v="6560.79"/>
    <n v="0"/>
    <n v="592.4"/>
    <n v="0"/>
    <n v="0"/>
    <n v="243.92"/>
    <n v="1312.16"/>
    <n v="380.53"/>
    <n v="2656.62"/>
    <n v="0"/>
    <n v="0"/>
    <s v="JEFF ALCIUS"/>
    <n v="6560.79"/>
    <n v="524.86"/>
    <n v="0"/>
    <n v="0"/>
    <s v="JEFF ALCIUS"/>
    <n v="6560.79"/>
    <n v="720.01"/>
    <n v="0"/>
    <n v="0"/>
  </r>
  <r>
    <s v="JEREMIAS VIEIRA DE LIMA"/>
    <x v="1"/>
    <s v="A"/>
    <s v="N"/>
    <n v="3118.86"/>
    <n v="0"/>
    <n v="0"/>
    <n v="0"/>
    <n v="0"/>
    <n v="249.51"/>
    <n v="0"/>
    <n v="0"/>
    <n v="0"/>
    <n v="0"/>
    <n v="3118.86"/>
    <n v="0"/>
    <n v="0"/>
    <n v="262.85000000000002"/>
    <n v="0"/>
    <n v="0"/>
    <n v="0"/>
    <n v="3118.86"/>
    <n v="0"/>
    <n v="0"/>
    <n v="0"/>
    <n v="0"/>
    <n v="115.96"/>
    <n v="623.77"/>
    <n v="180.89"/>
    <n v="1183.47"/>
    <n v="0"/>
    <n v="9.9999999999909051E-3"/>
    <s v="JEREMIAS VIEIRA DE LIMA"/>
    <n v="3118.86"/>
    <n v="249.5"/>
    <n v="0"/>
    <n v="0"/>
    <s v="JEREMIAS VIEIRA DE LIMA"/>
    <n v="3118.86"/>
    <n v="262.85000000000002"/>
    <n v="0"/>
    <n v="0"/>
  </r>
  <r>
    <s v="Jesus Sebastiao dos Santos"/>
    <x v="9"/>
    <s v="A"/>
    <s v="N"/>
    <n v="10293.540000000001"/>
    <n v="0"/>
    <n v="0"/>
    <n v="0"/>
    <n v="0"/>
    <n v="823.48"/>
    <n v="0"/>
    <n v="0"/>
    <n v="0"/>
    <n v="0"/>
    <n v="10293.540000000001"/>
    <n v="0"/>
    <n v="0"/>
    <n v="988.07"/>
    <n v="0"/>
    <n v="0"/>
    <n v="0"/>
    <n v="10293.540000000001"/>
    <n v="0"/>
    <n v="1650.27"/>
    <n v="0"/>
    <n v="0"/>
    <n v="382.7"/>
    <n v="2058.71"/>
    <n v="597.03"/>
    <n v="4026.51"/>
    <n v="0"/>
    <n v="0"/>
    <s v="JESUS SEBASTIAO DOS SANTOS"/>
    <n v="10293.540000000001"/>
    <n v="823.48"/>
    <n v="0"/>
    <n v="0"/>
    <s v="JESUS SEBASTIAO DOS SANTOS"/>
    <n v="10293.540000000001"/>
    <n v="988.07"/>
    <n v="0"/>
    <n v="0"/>
  </r>
  <r>
    <s v="JOADIR MENDES DA SILVA"/>
    <x v="1"/>
    <s v="A"/>
    <s v="N"/>
    <n v="5738.67"/>
    <n v="0"/>
    <n v="0"/>
    <n v="0"/>
    <n v="0"/>
    <n v="459.09"/>
    <n v="0"/>
    <n v="0"/>
    <n v="0"/>
    <n v="0"/>
    <n v="5738.67"/>
    <n v="0"/>
    <n v="0"/>
    <n v="604.91"/>
    <n v="0"/>
    <n v="0"/>
    <n v="0"/>
    <n v="5738.67"/>
    <n v="0"/>
    <n v="287.87"/>
    <n v="0"/>
    <n v="0"/>
    <n v="213.36"/>
    <n v="1147.73"/>
    <n v="332.84"/>
    <n v="2298.84"/>
    <n v="0"/>
    <n v="0"/>
    <s v="JOADIR MENDES DA SILVA"/>
    <n v="5738.67"/>
    <n v="459.09"/>
    <n v="0"/>
    <n v="0"/>
    <s v="JOADIR MENDES DA SILVA"/>
    <n v="5738.67"/>
    <n v="604.91"/>
    <n v="0"/>
    <n v="0"/>
  </r>
  <r>
    <s v="Joao Antonio Lucarelo Gomes"/>
    <x v="9"/>
    <s v="A"/>
    <s v="D"/>
    <n v="0"/>
    <n v="0"/>
    <n v="0"/>
    <n v="0"/>
    <n v="0"/>
    <n v="0"/>
    <n v="0"/>
    <n v="0"/>
    <n v="0"/>
    <n v="0"/>
    <n v="8475.5499999999993"/>
    <n v="0"/>
    <n v="0"/>
    <n v="932.31"/>
    <n v="0"/>
    <n v="0"/>
    <n v="0"/>
    <n v="8475.5499999999993"/>
    <n v="0"/>
    <n v="1061.3800000000001"/>
    <n v="0"/>
    <n v="0"/>
    <n v="315.11"/>
    <n v="1695.11"/>
    <n v="491.58"/>
    <n v="3434.11"/>
    <n v="0"/>
    <n v="0"/>
    <m/>
    <m/>
    <m/>
    <n v="0"/>
    <n v="0"/>
    <s v="JOAO ANTONIO LUCARELO GOMES"/>
    <n v="8475.5499999999993"/>
    <n v="932.31"/>
    <n v="0"/>
    <n v="0"/>
  </r>
  <r>
    <s v="JOAO CARLOS DE OLIVEIRA"/>
    <x v="11"/>
    <s v="A"/>
    <s v="N"/>
    <n v="4352.6099999999997"/>
    <n v="0"/>
    <n v="0"/>
    <n v="0"/>
    <n v="0"/>
    <n v="348.21"/>
    <n v="0"/>
    <n v="0"/>
    <n v="0"/>
    <n v="0"/>
    <n v="4352.6099999999997"/>
    <n v="0"/>
    <n v="0"/>
    <n v="1.5"/>
    <n v="0"/>
    <n v="409.4"/>
    <n v="0"/>
    <n v="12.45"/>
    <n v="4340.16"/>
    <n v="0"/>
    <n v="0"/>
    <n v="0"/>
    <n v="161.83000000000001"/>
    <n v="870.52"/>
    <n v="252.45"/>
    <n v="1695.7"/>
    <n v="0"/>
    <n v="9.9999999999909051E-3"/>
    <s v="JOAO CARLOS DE OLIVEIRA"/>
    <n v="4352.6099999999997"/>
    <n v="348.2"/>
    <n v="0"/>
    <n v="0"/>
    <s v="JOAO CARLOS DE OLIVEIRA"/>
    <n v="4352.6099999999997"/>
    <n v="410.9"/>
    <n v="0"/>
    <n v="0"/>
  </r>
  <r>
    <s v="JOAO DE SOUZA RIBEIRO"/>
    <x v="12"/>
    <s v="A"/>
    <s v="N"/>
    <n v="5257.5"/>
    <n v="0"/>
    <n v="0"/>
    <n v="0"/>
    <n v="0"/>
    <n v="420.6"/>
    <n v="0"/>
    <n v="0"/>
    <n v="0"/>
    <n v="0"/>
    <n v="5257.5"/>
    <n v="0"/>
    <n v="0"/>
    <n v="537.54999999999995"/>
    <n v="0"/>
    <n v="0"/>
    <n v="0"/>
    <n v="5257.5"/>
    <n v="0"/>
    <n v="92.21"/>
    <n v="0"/>
    <n v="0"/>
    <n v="195.47"/>
    <n v="1051.5"/>
    <n v="304.94"/>
    <n v="2089.4499999999998"/>
    <n v="0"/>
    <n v="0"/>
    <s v="JOAO DE SOUZA RIBEIRO"/>
    <n v="5257.5"/>
    <n v="420.6"/>
    <n v="0"/>
    <n v="0"/>
    <s v="JOAO DE SOUZA RIBEIRO"/>
    <n v="5257.5"/>
    <n v="537.54999999999995"/>
    <n v="0"/>
    <n v="0"/>
  </r>
  <r>
    <s v="JOAO FERREIRA DE SANTANA"/>
    <x v="15"/>
    <s v="P"/>
    <s v="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m/>
    <m/>
    <m/>
    <m/>
    <m/>
  </r>
  <r>
    <s v="JOAO PEDRO CIOCCA DE LIMA"/>
    <x v="12"/>
    <s v="A"/>
    <s v="N"/>
    <n v="2354.0100000000002"/>
    <n v="0"/>
    <n v="0"/>
    <n v="0"/>
    <n v="0"/>
    <n v="188.32"/>
    <n v="0"/>
    <n v="0"/>
    <n v="0"/>
    <n v="0"/>
    <n v="2354.0100000000002"/>
    <n v="0"/>
    <n v="0"/>
    <n v="187.54"/>
    <n v="0"/>
    <n v="0"/>
    <n v="0"/>
    <n v="2354.0100000000002"/>
    <n v="0"/>
    <n v="0"/>
    <n v="0"/>
    <n v="0"/>
    <n v="87.52"/>
    <n v="470.8"/>
    <n v="136.53"/>
    <n v="882.39"/>
    <n v="0"/>
    <n v="0"/>
    <s v="JOAO PEDRO CIOCCA DE LIMA"/>
    <n v="2354.0100000000002"/>
    <n v="188.32"/>
    <n v="0"/>
    <n v="0"/>
    <s v="JOAO PEDRO CIOCCA DE LIMA"/>
    <n v="2354.0100000000002"/>
    <n v="187.54"/>
    <n v="0"/>
    <n v="0"/>
  </r>
  <r>
    <s v="JOAO PEDRO PASSEBERG FRATTE"/>
    <x v="7"/>
    <s v="A"/>
    <s v="N"/>
    <n v="2375.38"/>
    <n v="0"/>
    <n v="0"/>
    <n v="0"/>
    <n v="0"/>
    <n v="190.03"/>
    <n v="0"/>
    <n v="0"/>
    <n v="0"/>
    <n v="0"/>
    <n v="2375.38"/>
    <n v="0"/>
    <n v="0"/>
    <n v="189.46"/>
    <n v="0"/>
    <n v="0"/>
    <n v="0"/>
    <n v="2375.38"/>
    <n v="0"/>
    <n v="0"/>
    <n v="0"/>
    <n v="0"/>
    <n v="88.31"/>
    <n v="475.08"/>
    <n v="137.77000000000001"/>
    <n v="890.62"/>
    <n v="0"/>
    <n v="0"/>
    <s v="JOAO PEDRO PASSEBERG FRATTE"/>
    <n v="2375.38"/>
    <n v="190.03"/>
    <n v="0"/>
    <n v="0"/>
    <s v="JOAO PEDRO PASSEBERG FRATTE"/>
    <n v="2375.38"/>
    <n v="189.46"/>
    <n v="0"/>
    <n v="0"/>
  </r>
  <r>
    <s v="JOAO PEREIRA GOMES"/>
    <x v="1"/>
    <s v="A"/>
    <s v="N"/>
    <n v="3148.04"/>
    <n v="0"/>
    <n v="0"/>
    <n v="0"/>
    <n v="0"/>
    <n v="251.84"/>
    <n v="0"/>
    <n v="0"/>
    <n v="0"/>
    <n v="0"/>
    <n v="3148.04"/>
    <n v="0"/>
    <n v="0"/>
    <n v="266.35000000000002"/>
    <n v="0"/>
    <n v="0"/>
    <n v="0"/>
    <n v="3148.04"/>
    <n v="0"/>
    <n v="0"/>
    <n v="0"/>
    <n v="0"/>
    <n v="117.04"/>
    <n v="629.61"/>
    <n v="182.59"/>
    <n v="1195.5899999999999"/>
    <n v="0"/>
    <n v="0"/>
    <s v="JOAO PEREIRA GOMES"/>
    <n v="3148.04"/>
    <n v="251.84"/>
    <n v="0"/>
    <n v="0"/>
    <s v="JOAO PEREIRA GOMES"/>
    <n v="3148.04"/>
    <n v="266.35000000000002"/>
    <n v="0"/>
    <n v="0"/>
  </r>
  <r>
    <s v="JOAO VITOR BALBINO DE CASTRO"/>
    <x v="9"/>
    <s v="A"/>
    <s v="Z"/>
    <n v="641.41999999999996"/>
    <n v="0"/>
    <n v="0"/>
    <n v="0"/>
    <n v="0"/>
    <n v="12.83"/>
    <n v="0"/>
    <n v="0"/>
    <n v="0"/>
    <n v="0"/>
    <n v="641.41999999999996"/>
    <n v="0"/>
    <n v="0"/>
    <n v="48.1"/>
    <n v="0"/>
    <n v="0"/>
    <n v="0"/>
    <n v="641.41999999999996"/>
    <n v="0"/>
    <n v="0"/>
    <n v="0"/>
    <n v="0"/>
    <n v="23.85"/>
    <n v="128.28"/>
    <n v="37.200000000000003"/>
    <n v="237.43"/>
    <n v="0"/>
    <n v="9.9999999999997868E-3"/>
    <s v="JOAO VITOR BALBINO DE CASTRO"/>
    <n v="641.41999999999996"/>
    <n v="12.82"/>
    <n v="0"/>
    <n v="0"/>
    <s v="JOAO VITOR BALBINO DE CASTRO"/>
    <n v="641.41999999999996"/>
    <n v="48.1"/>
    <n v="0"/>
    <n v="0"/>
  </r>
  <r>
    <s v="JOAO VITOR DE CASTRO"/>
    <x v="9"/>
    <s v="A"/>
    <s v="Z"/>
    <n v="641.41999999999996"/>
    <n v="0"/>
    <n v="0"/>
    <n v="0"/>
    <n v="0"/>
    <n v="12.83"/>
    <n v="0"/>
    <n v="0"/>
    <n v="0"/>
    <n v="0"/>
    <n v="641.41999999999996"/>
    <n v="0"/>
    <n v="0"/>
    <n v="48.1"/>
    <n v="0"/>
    <n v="0"/>
    <n v="0"/>
    <n v="641.41999999999996"/>
    <n v="0"/>
    <n v="0"/>
    <n v="0"/>
    <n v="0"/>
    <n v="23.85"/>
    <n v="128.28"/>
    <n v="37.200000000000003"/>
    <n v="237.43"/>
    <n v="0"/>
    <n v="9.9999999999997868E-3"/>
    <s v="JOAO VITOR DE CASTRO"/>
    <n v="641.41999999999996"/>
    <n v="12.82"/>
    <n v="0"/>
    <n v="0"/>
    <s v="JOAO VITOR DE CASTRO"/>
    <n v="641.41999999999996"/>
    <n v="48.1"/>
    <n v="0"/>
    <n v="0"/>
  </r>
  <r>
    <s v="JOAO VITOR DE OLIVEIRA DOS SANTOS"/>
    <x v="1"/>
    <s v="A"/>
    <s v="N"/>
    <n v="2355.0300000000002"/>
    <n v="0"/>
    <n v="0"/>
    <n v="0"/>
    <n v="0"/>
    <n v="188.4"/>
    <n v="0"/>
    <n v="0"/>
    <n v="0"/>
    <n v="0"/>
    <n v="2355.0300000000002"/>
    <n v="0"/>
    <n v="0"/>
    <n v="187.63"/>
    <n v="0"/>
    <n v="0"/>
    <n v="0"/>
    <n v="2355.0300000000002"/>
    <n v="0"/>
    <n v="0"/>
    <n v="0"/>
    <n v="0"/>
    <n v="87.56"/>
    <n v="471.01"/>
    <n v="136.59"/>
    <n v="882.79"/>
    <n v="0"/>
    <n v="0"/>
    <s v="JOAO VITOR DE OLIVEIRA DOS SANTOS"/>
    <n v="2355.0300000000002"/>
    <n v="188.4"/>
    <n v="0"/>
    <n v="0"/>
    <s v="JOAO VITOR DE OLIVEIRA DOS SANTOS"/>
    <n v="2355.0300000000002"/>
    <n v="187.63"/>
    <n v="0"/>
    <n v="0"/>
  </r>
  <r>
    <s v="JOATTAN MACHADO DA SILVA"/>
    <x v="1"/>
    <s v="A"/>
    <s v="N"/>
    <n v="2527.19"/>
    <n v="0"/>
    <n v="0"/>
    <n v="0"/>
    <n v="0"/>
    <n v="202.18"/>
    <n v="0"/>
    <n v="0"/>
    <n v="0"/>
    <n v="0"/>
    <n v="2527.19"/>
    <n v="0"/>
    <n v="0"/>
    <n v="203.12"/>
    <n v="0"/>
    <n v="0"/>
    <n v="0"/>
    <n v="2527.19"/>
    <n v="0"/>
    <n v="0"/>
    <n v="0"/>
    <n v="0"/>
    <n v="93.96"/>
    <n v="505.44"/>
    <n v="146.58000000000001"/>
    <n v="949.09"/>
    <n v="0"/>
    <n v="1.0000000000019327E-2"/>
    <s v="JOATTAN MACHADO DA SILVA"/>
    <n v="2527.19"/>
    <n v="202.17"/>
    <n v="0"/>
    <n v="0"/>
    <s v="JOATTAN MACHADO DA SILVA"/>
    <n v="2527.19"/>
    <n v="203.12"/>
    <n v="0"/>
    <n v="0"/>
  </r>
  <r>
    <s v="JOCELINO FERNANDO DA SILVA"/>
    <x v="1"/>
    <s v="A"/>
    <s v="N"/>
    <n v="5903.65"/>
    <n v="0"/>
    <n v="0"/>
    <n v="0"/>
    <n v="0"/>
    <n v="472.29"/>
    <n v="0"/>
    <n v="0"/>
    <n v="0"/>
    <n v="0"/>
    <n v="5903.65"/>
    <n v="0"/>
    <n v="0"/>
    <n v="628.01"/>
    <n v="0"/>
    <n v="0"/>
    <n v="0"/>
    <n v="5903.65"/>
    <n v="0"/>
    <n v="349.49"/>
    <n v="0"/>
    <n v="0"/>
    <n v="219.49"/>
    <n v="1180.73"/>
    <n v="342.41"/>
    <n v="2370.64"/>
    <n v="0"/>
    <n v="0"/>
    <s v="JOCELINO FERNANDO DA SILVA"/>
    <n v="5903.65"/>
    <n v="472.29"/>
    <n v="0"/>
    <n v="0"/>
    <s v="JOCELINO FERNANDO DA SILVA"/>
    <n v="5903.65"/>
    <n v="628.01"/>
    <n v="0"/>
    <n v="0"/>
  </r>
  <r>
    <s v="JOELSO ANTONIO DE CAMPOS"/>
    <x v="1"/>
    <s v="A"/>
    <s v="N"/>
    <n v="6301.54"/>
    <n v="0"/>
    <n v="0"/>
    <n v="0"/>
    <n v="0"/>
    <n v="504.12"/>
    <n v="0"/>
    <n v="0"/>
    <n v="0"/>
    <n v="0"/>
    <n v="6301.54"/>
    <n v="0"/>
    <n v="0"/>
    <n v="683.71"/>
    <n v="0"/>
    <n v="0"/>
    <n v="0"/>
    <n v="6301.54"/>
    <n v="0"/>
    <n v="496.57"/>
    <n v="0"/>
    <n v="0"/>
    <n v="234.28"/>
    <n v="1260.31"/>
    <n v="365.49"/>
    <n v="2543.79"/>
    <n v="0"/>
    <n v="0"/>
    <s v="JOELSO ANTONIO DE CAMPOS"/>
    <n v="6301.54"/>
    <n v="504.12"/>
    <n v="0"/>
    <n v="0"/>
    <s v="JOELSO ANTONIO DE CAMPOS"/>
    <n v="6301.54"/>
    <n v="683.71"/>
    <n v="0"/>
    <n v="0"/>
  </r>
  <r>
    <s v="JOELSON DE ARRUDA SILVA"/>
    <x v="1"/>
    <s v="A"/>
    <s v="N"/>
    <n v="3004.92"/>
    <n v="0"/>
    <n v="0"/>
    <n v="0"/>
    <n v="0"/>
    <n v="240.39"/>
    <n v="0"/>
    <n v="0"/>
    <n v="0"/>
    <n v="0"/>
    <n v="3004.92"/>
    <n v="0"/>
    <n v="0"/>
    <n v="249.17"/>
    <n v="0"/>
    <n v="0"/>
    <n v="0"/>
    <n v="3004.92"/>
    <n v="0"/>
    <n v="0"/>
    <n v="0"/>
    <n v="0"/>
    <n v="111.72"/>
    <n v="600.98"/>
    <n v="174.29"/>
    <n v="1136.1600000000001"/>
    <n v="0"/>
    <n v="0"/>
    <s v="JOELSON DE ARRUDA SILVA"/>
    <n v="3004.92"/>
    <n v="240.39"/>
    <n v="0"/>
    <n v="0"/>
    <s v="JOELSON DE ARRUDA SILVA"/>
    <n v="3004.92"/>
    <n v="249.17"/>
    <n v="0"/>
    <n v="0"/>
  </r>
  <r>
    <s v="JOILDO DA SILVA VIANA"/>
    <x v="1"/>
    <s v="A"/>
    <s v="N"/>
    <n v="5997.63"/>
    <n v="0"/>
    <n v="0"/>
    <n v="0"/>
    <n v="0"/>
    <n v="479.81"/>
    <n v="0"/>
    <n v="0"/>
    <n v="0"/>
    <n v="0"/>
    <n v="5997.63"/>
    <n v="0"/>
    <n v="0"/>
    <n v="641.16999999999996"/>
    <n v="0"/>
    <n v="0"/>
    <n v="0"/>
    <n v="5997.63"/>
    <n v="0"/>
    <n v="384.23"/>
    <n v="0"/>
    <n v="0"/>
    <n v="222.99"/>
    <n v="1199.53"/>
    <n v="347.86"/>
    <n v="2411.54"/>
    <n v="0"/>
    <n v="0"/>
    <s v="JOILDO DA SILVA VIANA"/>
    <n v="5997.63"/>
    <n v="479.81"/>
    <n v="0"/>
    <n v="0"/>
    <s v="JOILDO DA SILVA VIANA"/>
    <n v="5997.63"/>
    <n v="641.16999999999996"/>
    <n v="0"/>
    <n v="0"/>
  </r>
  <r>
    <s v="JONATAS FERREIRA BORGES"/>
    <x v="5"/>
    <s v="A"/>
    <s v="N"/>
    <n v="3313.59"/>
    <n v="0"/>
    <n v="0"/>
    <n v="0"/>
    <n v="0"/>
    <n v="265.08999999999997"/>
    <n v="0"/>
    <n v="0"/>
    <n v="0"/>
    <n v="0"/>
    <n v="3313.59"/>
    <n v="0"/>
    <n v="0"/>
    <n v="286.22000000000003"/>
    <n v="0"/>
    <n v="0"/>
    <n v="0"/>
    <n v="3313.59"/>
    <n v="0"/>
    <n v="0"/>
    <n v="0"/>
    <n v="0"/>
    <n v="123.2"/>
    <n v="662.72"/>
    <n v="192.19"/>
    <n v="1264.32"/>
    <n v="0"/>
    <n v="9.9999999999909051E-3"/>
    <s v="JONATAS FERREIRA BORGES"/>
    <n v="3313.59"/>
    <n v="265.08"/>
    <n v="0"/>
    <n v="0"/>
    <s v="JONATAS FERREIRA BORGES"/>
    <n v="3313.59"/>
    <n v="286.22000000000003"/>
    <n v="0"/>
    <n v="0"/>
  </r>
  <r>
    <s v="JORGE JUNIOR DA SILVA"/>
    <x v="1"/>
    <s v="A"/>
    <s v="N"/>
    <n v="3603.17"/>
    <n v="0"/>
    <n v="0"/>
    <n v="0"/>
    <n v="0"/>
    <n v="288.25"/>
    <n v="0"/>
    <n v="0"/>
    <n v="0"/>
    <n v="0"/>
    <n v="3603.17"/>
    <n v="0"/>
    <n v="0"/>
    <n v="320.95999999999998"/>
    <n v="0"/>
    <n v="0"/>
    <n v="0"/>
    <n v="3603.17"/>
    <n v="0"/>
    <n v="0"/>
    <n v="0"/>
    <n v="0"/>
    <n v="133.96"/>
    <n v="720.63"/>
    <n v="208.98"/>
    <n v="1384.54"/>
    <n v="0"/>
    <n v="0"/>
    <s v="JORGE JUNIOR DA SILVA"/>
    <n v="3603.17"/>
    <n v="288.25"/>
    <n v="0"/>
    <n v="0"/>
    <s v="JORGE JUNIOR DA SILVA"/>
    <n v="3603.17"/>
    <n v="320.95999999999998"/>
    <n v="0"/>
    <n v="0"/>
  </r>
  <r>
    <s v="JORGE LUIS IBARRA GOMEZ"/>
    <x v="1"/>
    <s v="D"/>
    <s v="N"/>
    <n v="2816.06"/>
    <n v="3366.89"/>
    <n v="288.94"/>
    <n v="2600.44"/>
    <n v="0"/>
    <n v="225.28"/>
    <n v="269.35000000000002"/>
    <n v="23.12"/>
    <n v="208.04"/>
    <n v="0"/>
    <n v="2816.06"/>
    <n v="2889.38"/>
    <n v="0"/>
    <n v="229.12"/>
    <n v="235.72"/>
    <n v="0"/>
    <n v="0"/>
    <n v="2816.06"/>
    <n v="0"/>
    <n v="0"/>
    <n v="0"/>
    <n v="0"/>
    <n v="212.12"/>
    <n v="1141.0899999999999"/>
    <n v="330.92"/>
    <n v="2148.9699999999998"/>
    <n v="9072.33"/>
    <n v="725.79"/>
    <m/>
    <m/>
    <m/>
    <n v="0"/>
    <n v="0"/>
    <s v="JORGE LUIS IBARRA GOMEZ"/>
    <n v="2816.06"/>
    <n v="229.12"/>
    <n v="2889.38"/>
    <n v="235.72"/>
  </r>
  <r>
    <s v="JOSE CLAUDIO SANTOS DA SILVA"/>
    <x v="1"/>
    <s v="A"/>
    <s v="N"/>
    <n v="3553.78"/>
    <n v="0"/>
    <n v="0"/>
    <n v="0"/>
    <n v="0"/>
    <n v="284.3"/>
    <n v="0"/>
    <n v="0"/>
    <n v="0"/>
    <n v="0"/>
    <n v="3553.78"/>
    <n v="0"/>
    <n v="0"/>
    <n v="315.04000000000002"/>
    <n v="0"/>
    <n v="0"/>
    <n v="0"/>
    <n v="3553.78"/>
    <n v="0"/>
    <n v="0"/>
    <n v="0"/>
    <n v="0"/>
    <n v="132.13"/>
    <n v="710.76"/>
    <n v="206.12"/>
    <n v="1364.04"/>
    <n v="0"/>
    <n v="0"/>
    <s v="JOSE CLAUDIO SANTOS DA SILVA"/>
    <n v="3553.78"/>
    <n v="284.3"/>
    <n v="0"/>
    <n v="0"/>
    <s v="JOSE CLAUDIO SANTOS DA SILVA"/>
    <n v="3553.78"/>
    <n v="315.04000000000002"/>
    <n v="0"/>
    <n v="0"/>
  </r>
  <r>
    <s v="JOSE DOS SANTOS"/>
    <x v="6"/>
    <s v="D"/>
    <s v="N"/>
    <n v="5222.07"/>
    <n v="4301.28"/>
    <n v="370.25"/>
    <n v="3332.24"/>
    <n v="0"/>
    <n v="417.77"/>
    <n v="344.1"/>
    <n v="29.62"/>
    <n v="266.58"/>
    <n v="0"/>
    <n v="5222.07"/>
    <n v="3702.49"/>
    <n v="0"/>
    <n v="532.59"/>
    <n v="332.88"/>
    <n v="0"/>
    <n v="0"/>
    <n v="5222.07"/>
    <n v="0"/>
    <n v="79.52"/>
    <n v="0"/>
    <n v="0"/>
    <n v="331.81"/>
    <n v="1784.91"/>
    <n v="517.62"/>
    <n v="3499.81"/>
    <n v="13225.839999999998"/>
    <n v="1058.07"/>
    <m/>
    <m/>
    <m/>
    <n v="0"/>
    <n v="0"/>
    <s v="JOSE DOS SANTOS"/>
    <n v="5222.07"/>
    <n v="532.59"/>
    <n v="3702.49"/>
    <n v="332.88"/>
  </r>
  <r>
    <s v="JOSE GREGORIO HERNANDEZ"/>
    <x v="1"/>
    <s v="A"/>
    <s v="N"/>
    <n v="3787.72"/>
    <n v="0"/>
    <n v="0"/>
    <n v="0"/>
    <n v="0"/>
    <n v="303.02"/>
    <n v="0"/>
    <n v="0"/>
    <n v="0"/>
    <n v="0"/>
    <n v="3787.72"/>
    <n v="0"/>
    <n v="0"/>
    <n v="343.11"/>
    <n v="0"/>
    <n v="0"/>
    <n v="0"/>
    <n v="3787.72"/>
    <n v="0"/>
    <n v="0"/>
    <n v="0"/>
    <n v="0"/>
    <n v="140.82"/>
    <n v="757.54"/>
    <n v="219.69"/>
    <n v="1461.17"/>
    <n v="0"/>
    <n v="9.9999999999909051E-3"/>
    <s v="JOSE GREGORIO HERNANDEZ"/>
    <n v="3787.72"/>
    <n v="303.01"/>
    <n v="0"/>
    <n v="0"/>
    <s v="JOSE GREGORIO HERNANDEZ"/>
    <n v="3787.72"/>
    <n v="343.11"/>
    <n v="0"/>
    <n v="0"/>
  </r>
  <r>
    <s v="JOSE SEBASTIAO DOS SANTOS"/>
    <x v="5"/>
    <s v="D"/>
    <s v="N"/>
    <n v="2891.77"/>
    <n v="4126.42"/>
    <n v="304.14"/>
    <n v="2737.2"/>
    <n v="0"/>
    <n v="231.34"/>
    <n v="330.11"/>
    <n v="24.33"/>
    <n v="218.98"/>
    <n v="0"/>
    <n v="2891.77"/>
    <n v="3041.34"/>
    <n v="0"/>
    <n v="235.93"/>
    <n v="253.55"/>
    <n v="0"/>
    <n v="0"/>
    <n v="2891.77"/>
    <n v="0"/>
    <n v="0"/>
    <n v="0"/>
    <n v="0"/>
    <n v="220.59"/>
    <n v="1186.6199999999999"/>
    <n v="344.12"/>
    <n v="2240.81"/>
    <n v="10059.530000000001"/>
    <n v="804.7600000000001"/>
    <m/>
    <m/>
    <m/>
    <n v="0"/>
    <n v="0"/>
    <s v="JOSE SEBASTIAO DOS SANTOS"/>
    <n v="2891.77"/>
    <n v="235.93"/>
    <n v="3041.34"/>
    <n v="253.55"/>
  </r>
  <r>
    <s v="JOSE SERGIO DA SILVA"/>
    <x v="6"/>
    <s v="A"/>
    <s v="N"/>
    <n v="1718.45"/>
    <n v="0"/>
    <n v="0"/>
    <n v="0"/>
    <n v="0"/>
    <n v="137.47999999999999"/>
    <n v="0"/>
    <n v="0"/>
    <n v="0"/>
    <n v="0"/>
    <n v="1718.45"/>
    <n v="0"/>
    <n v="0"/>
    <n v="146.86000000000001"/>
    <n v="0"/>
    <n v="0"/>
    <n v="0"/>
    <n v="1718.45"/>
    <n v="0"/>
    <n v="0"/>
    <n v="0"/>
    <n v="0"/>
    <n v="63.89"/>
    <n v="343.69"/>
    <n v="99.67"/>
    <n v="654.11"/>
    <n v="0"/>
    <n v="9.9999999999909051E-3"/>
    <s v="JOSE SERGIO DA SILVA"/>
    <n v="1718.45"/>
    <n v="137.47"/>
    <n v="0"/>
    <n v="0"/>
    <s v="JOSE SERGIO DA SILVA"/>
    <n v="1718.45"/>
    <n v="146.86000000000001"/>
    <n v="0"/>
    <n v="0"/>
  </r>
  <r>
    <s v="JOSE SERGIO DA SILVA"/>
    <x v="6"/>
    <s v="D"/>
    <s v="N"/>
    <n v="1101.27"/>
    <n v="0"/>
    <n v="0"/>
    <n v="4744.6000000000004"/>
    <n v="0"/>
    <n v="88.1"/>
    <n v="0"/>
    <n v="0"/>
    <n v="379.57"/>
    <n v="0"/>
    <n v="1101.27"/>
    <n v="4744.6000000000004"/>
    <n v="0"/>
    <n v="82.59"/>
    <n v="465.74"/>
    <n v="0"/>
    <n v="0"/>
    <n v="1101.27"/>
    <n v="0"/>
    <n v="0"/>
    <n v="0"/>
    <n v="0"/>
    <n v="217.34"/>
    <n v="1169.17"/>
    <n v="339.06"/>
    <n v="2273.91"/>
    <n v="0"/>
    <n v="9.9999999999340616E-3"/>
    <s v="JOSE SERGIO DA SILVA"/>
    <n v="5845.87"/>
    <n v="467.66"/>
    <n v="0"/>
    <n v="0"/>
    <s v="JOSE SERGIO DA SILVA"/>
    <n v="1101.27"/>
    <n v="82.59"/>
    <n v="4744.6000000000004"/>
    <n v="465.74"/>
  </r>
  <r>
    <s v="JOSE VALENTIM LEITE"/>
    <x v="5"/>
    <s v="A"/>
    <s v="N"/>
    <n v="3744.69"/>
    <n v="0"/>
    <n v="0"/>
    <n v="0"/>
    <n v="0"/>
    <n v="299.58"/>
    <n v="0"/>
    <n v="0"/>
    <n v="0"/>
    <n v="0"/>
    <n v="3744.69"/>
    <n v="0"/>
    <n v="0"/>
    <n v="337.95"/>
    <n v="0"/>
    <n v="0"/>
    <n v="0"/>
    <n v="3744.69"/>
    <n v="0"/>
    <n v="0"/>
    <n v="0"/>
    <n v="0"/>
    <n v="139.22"/>
    <n v="748.94"/>
    <n v="217.19"/>
    <n v="1443.3"/>
    <n v="0"/>
    <n v="9.9999999999909051E-3"/>
    <s v="JOSE VALENTIM LEITE"/>
    <n v="3744.69"/>
    <n v="299.57"/>
    <n v="0"/>
    <n v="0"/>
    <s v="JOSE VALENTIM LEITE"/>
    <n v="3744.69"/>
    <n v="337.95"/>
    <n v="0"/>
    <n v="0"/>
  </r>
  <r>
    <s v="JOSENILSON ARMANDO DA SILVA"/>
    <x v="1"/>
    <s v="A"/>
    <s v="N"/>
    <n v="6403.5"/>
    <n v="0"/>
    <n v="0"/>
    <n v="0"/>
    <n v="0"/>
    <n v="512.28"/>
    <n v="0"/>
    <n v="0"/>
    <n v="0"/>
    <n v="0"/>
    <n v="6403.5"/>
    <n v="0"/>
    <n v="0"/>
    <n v="697.99"/>
    <n v="0"/>
    <n v="0"/>
    <n v="0"/>
    <n v="6403.5"/>
    <n v="0"/>
    <n v="534.25"/>
    <n v="0"/>
    <n v="0"/>
    <n v="238.08"/>
    <n v="1280.7"/>
    <n v="371.4"/>
    <n v="2588.17"/>
    <n v="0"/>
    <n v="0"/>
    <s v="JOSENILSON ARMANDO DA SILVA"/>
    <n v="6403.5"/>
    <n v="512.28"/>
    <n v="0"/>
    <n v="0"/>
    <s v="JOSENILSON ARMANDO DA SILVA"/>
    <n v="6403.5"/>
    <n v="697.99"/>
    <n v="0"/>
    <n v="0"/>
  </r>
  <r>
    <s v="JOSIMAR RODRIGUES NOBRES"/>
    <x v="1"/>
    <s v="A"/>
    <s v="N"/>
    <n v="6846.78"/>
    <n v="0"/>
    <n v="0"/>
    <n v="0"/>
    <n v="0"/>
    <n v="547.74"/>
    <n v="0"/>
    <n v="0"/>
    <n v="0"/>
    <n v="0"/>
    <n v="6846.78"/>
    <n v="0"/>
    <n v="0"/>
    <n v="760.05"/>
    <n v="0"/>
    <n v="0"/>
    <n v="0"/>
    <n v="6846.78"/>
    <n v="0"/>
    <n v="698.11"/>
    <n v="0"/>
    <n v="0"/>
    <n v="254.56"/>
    <n v="1369.36"/>
    <n v="397.11"/>
    <n v="2781.08"/>
    <n v="0"/>
    <n v="0"/>
    <s v="JOSIMAR RODRIGUES NOBRES"/>
    <n v="6846.78"/>
    <n v="547.74"/>
    <n v="0"/>
    <n v="0"/>
    <s v="JOSIMAR RODRIGUES NOBRES"/>
    <n v="6846.78"/>
    <n v="760.05"/>
    <n v="0"/>
    <n v="0"/>
  </r>
  <r>
    <s v="JOSUE CAVALCANTE DOS SANTOS"/>
    <x v="6"/>
    <s v="A"/>
    <s v="N"/>
    <n v="7700.44"/>
    <n v="0"/>
    <n v="0"/>
    <n v="0"/>
    <n v="0"/>
    <n v="616.04"/>
    <n v="0"/>
    <n v="0"/>
    <n v="0"/>
    <n v="0"/>
    <n v="7700.44"/>
    <n v="0"/>
    <n v="0"/>
    <n v="879.56"/>
    <n v="0"/>
    <n v="0"/>
    <n v="0"/>
    <n v="7700.44"/>
    <n v="0"/>
    <n v="914.87"/>
    <n v="0"/>
    <n v="0"/>
    <n v="286.29000000000002"/>
    <n v="1540.09"/>
    <n v="446.63"/>
    <n v="3152.57"/>
    <n v="0"/>
    <n v="9.9999999999909051E-3"/>
    <s v="JOSUE CAVALCANTE DOS SANTOS"/>
    <n v="7700.44"/>
    <n v="616.03"/>
    <n v="0"/>
    <n v="0"/>
    <s v="JOSUE CAVALCANTE DOS SANTOS"/>
    <n v="7700.44"/>
    <n v="879.56"/>
    <n v="0"/>
    <n v="0"/>
  </r>
  <r>
    <s v="JUSCELINO LUCINDO OLIVEIRA"/>
    <x v="0"/>
    <s v="A"/>
    <s v="N"/>
    <n v="3425.07"/>
    <n v="0"/>
    <n v="0"/>
    <n v="0"/>
    <n v="0"/>
    <n v="274.01"/>
    <n v="0"/>
    <n v="0"/>
    <n v="0"/>
    <n v="0"/>
    <n v="3425.07"/>
    <n v="0"/>
    <n v="0"/>
    <n v="299.58999999999997"/>
    <n v="0"/>
    <n v="0"/>
    <n v="0"/>
    <n v="3425.07"/>
    <n v="0"/>
    <n v="0"/>
    <n v="0"/>
    <n v="0"/>
    <n v="127.34"/>
    <n v="685.01"/>
    <n v="198.65"/>
    <n v="1310.5999999999999"/>
    <n v="0"/>
    <n v="9.9999999999909051E-3"/>
    <s v="JUSCELINO LUCINDO OLIVEIRA"/>
    <n v="3425.07"/>
    <n v="274"/>
    <n v="0"/>
    <n v="0"/>
    <s v="JUSCELINO LUCINDO OLIVEIRA"/>
    <n v="3425.07"/>
    <n v="299.58999999999997"/>
    <n v="0"/>
    <n v="0"/>
  </r>
  <r>
    <s v="KAIO ALESSANDRO DA SILVA"/>
    <x v="1"/>
    <s v="A"/>
    <s v="N"/>
    <n v="799.32"/>
    <n v="0"/>
    <n v="0"/>
    <n v="0"/>
    <n v="0"/>
    <n v="63.95"/>
    <n v="0"/>
    <n v="0"/>
    <n v="0"/>
    <n v="0"/>
    <n v="799.32"/>
    <n v="0"/>
    <n v="0"/>
    <n v="59.94"/>
    <n v="0"/>
    <n v="0"/>
    <n v="0"/>
    <n v="799.32"/>
    <n v="0"/>
    <n v="0"/>
    <n v="0"/>
    <n v="0"/>
    <n v="29.72"/>
    <n v="159.86000000000001"/>
    <n v="46.36"/>
    <n v="295.88"/>
    <n v="0"/>
    <n v="1.0000000000005116E-2"/>
    <s v="KAIO ALESSANDRO DA SILVA"/>
    <n v="799.32"/>
    <n v="63.94"/>
    <n v="0"/>
    <n v="0"/>
    <s v="KAIO ALESSANDRO DA SILVA"/>
    <n v="799.32"/>
    <n v="59.94"/>
    <n v="0"/>
    <n v="0"/>
  </r>
  <r>
    <s v="LAELSON FONSECA CHAGAS"/>
    <x v="7"/>
    <s v="P"/>
    <s v="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m/>
    <m/>
    <m/>
    <m/>
    <m/>
  </r>
  <r>
    <s v="LARISSA BATISTA DOS SANTOS"/>
    <x v="0"/>
    <s v="A"/>
    <s v="N"/>
    <n v="1070.01"/>
    <n v="0"/>
    <n v="0"/>
    <n v="0"/>
    <n v="0"/>
    <n v="85.6"/>
    <n v="0"/>
    <n v="0"/>
    <n v="0"/>
    <n v="0"/>
    <n v="1070.01"/>
    <n v="0"/>
    <n v="0"/>
    <n v="80.25"/>
    <n v="0"/>
    <n v="0"/>
    <n v="0"/>
    <n v="1070.01"/>
    <n v="0"/>
    <n v="0"/>
    <n v="0"/>
    <n v="0"/>
    <n v="39.78"/>
    <n v="214"/>
    <n v="62.06"/>
    <n v="396.09"/>
    <n v="0"/>
    <n v="0"/>
    <s v="LARISSA BATISTA DOS SANTOS"/>
    <n v="1070.01"/>
    <n v="85.6"/>
    <n v="0"/>
    <n v="0"/>
    <s v="LARISSA BATISTA DOS SANTOS"/>
    <n v="1070.01"/>
    <n v="80.25"/>
    <n v="0"/>
    <n v="0"/>
  </r>
  <r>
    <s v="LEANDRO ALVES VIANA"/>
    <x v="1"/>
    <s v="A"/>
    <s v="N"/>
    <n v="3320.11"/>
    <n v="0"/>
    <n v="0"/>
    <n v="0"/>
    <n v="0"/>
    <n v="265.61"/>
    <n v="0"/>
    <n v="0"/>
    <n v="0"/>
    <n v="0"/>
    <n v="3320.11"/>
    <n v="0"/>
    <n v="0"/>
    <n v="287"/>
    <n v="0"/>
    <n v="0"/>
    <n v="0"/>
    <n v="3320.11"/>
    <n v="0"/>
    <n v="0"/>
    <n v="0"/>
    <n v="0"/>
    <n v="123.44"/>
    <n v="664.02"/>
    <n v="192.57"/>
    <n v="1267.03"/>
    <n v="0"/>
    <n v="9.9999999999909051E-3"/>
    <s v="LEANDRO ALVES VIANA"/>
    <n v="3320.11"/>
    <n v="265.60000000000002"/>
    <n v="0"/>
    <n v="0"/>
    <s v="LEANDRO ALVES VIANA"/>
    <n v="3320.11"/>
    <n v="287"/>
    <n v="0"/>
    <n v="0"/>
  </r>
  <r>
    <s v="LEANDRO APARECIDO DE SOUZA"/>
    <x v="0"/>
    <s v="A"/>
    <s v="N"/>
    <n v="3893.52"/>
    <n v="0"/>
    <n v="0"/>
    <n v="0"/>
    <n v="0"/>
    <n v="311.48"/>
    <n v="0"/>
    <n v="0"/>
    <n v="0"/>
    <n v="0"/>
    <n v="3893.52"/>
    <n v="0"/>
    <n v="0"/>
    <n v="355.81"/>
    <n v="0"/>
    <n v="0"/>
    <n v="0"/>
    <n v="3893.52"/>
    <n v="0"/>
    <n v="0"/>
    <n v="0"/>
    <n v="0"/>
    <n v="144.76"/>
    <n v="778.7"/>
    <n v="225.82"/>
    <n v="1505.1"/>
    <n v="0"/>
    <n v="0"/>
    <s v="LEANDRO APARECIDO DE SOUZA"/>
    <n v="3893.52"/>
    <n v="311.48"/>
    <n v="0"/>
    <n v="0"/>
    <s v="LEANDRO APARECIDO DE SOUZA"/>
    <n v="3893.52"/>
    <n v="355.81"/>
    <n v="0"/>
    <n v="0"/>
  </r>
  <r>
    <s v="LEANDRO CESAR GOMES DA SILVA"/>
    <x v="10"/>
    <s v="A"/>
    <s v="N"/>
    <n v="10124.290000000001"/>
    <n v="0"/>
    <n v="0"/>
    <n v="0"/>
    <n v="0"/>
    <n v="809.94"/>
    <n v="0"/>
    <n v="0"/>
    <n v="0"/>
    <n v="0"/>
    <n v="10124.290000000001"/>
    <n v="0"/>
    <n v="0"/>
    <n v="988.07"/>
    <n v="0"/>
    <n v="0"/>
    <n v="0"/>
    <n v="10124.290000000001"/>
    <n v="0"/>
    <n v="1551.59"/>
    <n v="0"/>
    <n v="0"/>
    <n v="376.41"/>
    <n v="2024.86"/>
    <n v="587.21"/>
    <n v="3976.55"/>
    <n v="0"/>
    <n v="0"/>
    <s v="LEANDRO CESAR GOMES DA SILVA"/>
    <n v="10124.290000000001"/>
    <n v="809.94"/>
    <n v="0"/>
    <n v="0"/>
    <s v="LEANDRO CESAR GOMES DA SILVA"/>
    <n v="10124.290000000001"/>
    <n v="988.07"/>
    <n v="0"/>
    <n v="0"/>
  </r>
  <r>
    <s v="LEANDRO ORIVALDO DE ARRUDA"/>
    <x v="1"/>
    <s v="A"/>
    <s v="N"/>
    <n v="2855.61"/>
    <n v="0"/>
    <n v="0"/>
    <n v="0"/>
    <n v="0"/>
    <n v="228.45"/>
    <n v="0"/>
    <n v="0"/>
    <n v="0"/>
    <n v="0"/>
    <n v="2855.61"/>
    <n v="0"/>
    <n v="0"/>
    <n v="232.68"/>
    <n v="0"/>
    <n v="0"/>
    <n v="0"/>
    <n v="2855.61"/>
    <n v="0"/>
    <n v="0"/>
    <n v="0"/>
    <n v="0"/>
    <n v="106.17"/>
    <n v="571.12"/>
    <n v="165.63"/>
    <n v="1075.5999999999999"/>
    <n v="0"/>
    <n v="9.9999999999909051E-3"/>
    <s v="LEANDRO ORIVALDO DE ARRUDA"/>
    <n v="2855.61"/>
    <n v="228.44"/>
    <n v="0"/>
    <n v="0"/>
    <s v="LEANDRO ORIVALDO DE ARRUDA"/>
    <n v="2855.61"/>
    <n v="232.68"/>
    <n v="0"/>
    <n v="0"/>
  </r>
  <r>
    <s v="LEANDRO VIEIRA DA SILVA"/>
    <x v="1"/>
    <s v="A"/>
    <s v="N"/>
    <n v="6204.48"/>
    <n v="0"/>
    <n v="0"/>
    <n v="0"/>
    <n v="0"/>
    <n v="496.36"/>
    <n v="0"/>
    <n v="0"/>
    <n v="0"/>
    <n v="0"/>
    <n v="6204.48"/>
    <n v="0"/>
    <n v="0"/>
    <n v="670.12"/>
    <n v="0"/>
    <n v="0"/>
    <n v="0"/>
    <n v="6204.48"/>
    <n v="0"/>
    <n v="460.69"/>
    <n v="0"/>
    <n v="0"/>
    <n v="230.68"/>
    <n v="1240.9000000000001"/>
    <n v="359.86"/>
    <n v="2501.5500000000002"/>
    <n v="0"/>
    <n v="9.9999999999909051E-3"/>
    <s v="LEANDRO VIEIRA DA SILVA"/>
    <n v="6204.48"/>
    <n v="496.35"/>
    <n v="0"/>
    <n v="0"/>
    <s v="LEANDRO VIEIRA DA SILVA"/>
    <n v="6204.48"/>
    <n v="670.12"/>
    <n v="0"/>
    <n v="0"/>
  </r>
  <r>
    <s v="LEONARDO VINICIUS DE SOUZA"/>
    <x v="9"/>
    <s v="A"/>
    <s v="N"/>
    <n v="2354.0100000000002"/>
    <n v="0"/>
    <n v="0"/>
    <n v="0"/>
    <n v="0"/>
    <n v="188.32"/>
    <n v="0"/>
    <n v="0"/>
    <n v="0"/>
    <n v="0"/>
    <n v="2354.0100000000002"/>
    <n v="0"/>
    <n v="0"/>
    <n v="187.54"/>
    <n v="0"/>
    <n v="0"/>
    <n v="0"/>
    <n v="2354.0100000000002"/>
    <n v="0"/>
    <n v="0"/>
    <n v="0"/>
    <n v="0"/>
    <n v="87.52"/>
    <n v="470.8"/>
    <n v="136.53"/>
    <n v="882.39"/>
    <n v="0"/>
    <n v="0"/>
    <s v="LEONARDO VINICIUS DE SOUZA"/>
    <n v="2354.0100000000002"/>
    <n v="188.32"/>
    <n v="0"/>
    <n v="0"/>
    <s v="LEONARDO VINICIUS DE SOUZA"/>
    <n v="2354.0100000000002"/>
    <n v="187.54"/>
    <n v="0"/>
    <n v="0"/>
  </r>
  <r>
    <s v="LINDOVAL FERREIRA DE OLIVEIRA"/>
    <x v="6"/>
    <s v="A"/>
    <s v="N"/>
    <n v="5288.86"/>
    <n v="0"/>
    <n v="0"/>
    <n v="0"/>
    <n v="0"/>
    <n v="423.11"/>
    <n v="0"/>
    <n v="0"/>
    <n v="0"/>
    <n v="0"/>
    <n v="5288.86"/>
    <n v="0"/>
    <n v="0"/>
    <n v="541.94000000000005"/>
    <n v="0"/>
    <n v="0"/>
    <n v="0"/>
    <n v="5288.86"/>
    <n v="0"/>
    <n v="104.29"/>
    <n v="0"/>
    <n v="0"/>
    <n v="196.63"/>
    <n v="1057.77"/>
    <n v="306.75"/>
    <n v="2103.1"/>
    <n v="0"/>
    <n v="9.9999999999909051E-3"/>
    <s v="LINDOVAL FERREIRA DE OLIVEIRA"/>
    <n v="5288.86"/>
    <n v="423.1"/>
    <n v="0"/>
    <n v="0"/>
    <s v="LINDOVAL FERREIRA DE OLIVEIRA"/>
    <n v="5288.86"/>
    <n v="541.94000000000005"/>
    <n v="0"/>
    <n v="0"/>
  </r>
  <r>
    <s v="LUCAS DA SILVA KIL"/>
    <x v="7"/>
    <s v="A"/>
    <s v="N"/>
    <n v="3068.19"/>
    <n v="0"/>
    <n v="0"/>
    <n v="0"/>
    <n v="0"/>
    <n v="245.46"/>
    <n v="0"/>
    <n v="0"/>
    <n v="0"/>
    <n v="0"/>
    <n v="3068.19"/>
    <n v="0"/>
    <n v="0"/>
    <n v="256.77"/>
    <n v="0"/>
    <n v="0"/>
    <n v="0"/>
    <n v="3068.19"/>
    <n v="0"/>
    <n v="0"/>
    <n v="0"/>
    <n v="0"/>
    <n v="114.07"/>
    <n v="613.64"/>
    <n v="177.96"/>
    <n v="1162.44"/>
    <n v="0"/>
    <n v="1.0000000000019327E-2"/>
    <s v="LUCAS DA SILVA KIL"/>
    <n v="3068.19"/>
    <n v="245.45"/>
    <n v="0"/>
    <n v="0"/>
    <s v="LUCAS DA SILVA KIL"/>
    <n v="3068.19"/>
    <n v="256.77"/>
    <n v="0"/>
    <n v="0"/>
  </r>
  <r>
    <s v="LUCAS DE MOURA QUEIROZ"/>
    <x v="1"/>
    <s v="A"/>
    <s v="N"/>
    <n v="3722.22"/>
    <n v="0"/>
    <n v="0"/>
    <n v="0"/>
    <n v="0"/>
    <n v="297.77999999999997"/>
    <n v="0"/>
    <n v="0"/>
    <n v="0"/>
    <n v="0"/>
    <n v="3722.22"/>
    <n v="0"/>
    <n v="0"/>
    <n v="335.25"/>
    <n v="0"/>
    <n v="0"/>
    <n v="0"/>
    <n v="3722.22"/>
    <n v="0"/>
    <n v="0"/>
    <n v="0"/>
    <n v="0"/>
    <n v="138.38999999999999"/>
    <n v="744.44"/>
    <n v="215.89"/>
    <n v="1433.97"/>
    <n v="0"/>
    <n v="9.9999999999909051E-3"/>
    <s v="LUCAS DE MOURA QUEIROZ"/>
    <n v="3722.22"/>
    <n v="297.77"/>
    <n v="0"/>
    <n v="0"/>
    <s v="LUCAS DE MOURA QUEIROZ"/>
    <n v="3722.22"/>
    <n v="335.25"/>
    <n v="0"/>
    <n v="0"/>
  </r>
  <r>
    <s v="LUCAS DE OLIVEIRA CALUX"/>
    <x v="9"/>
    <s v="A"/>
    <s v="Z"/>
    <n v="641.41999999999996"/>
    <n v="0"/>
    <n v="0"/>
    <n v="0"/>
    <n v="0"/>
    <n v="12.83"/>
    <n v="0"/>
    <n v="0"/>
    <n v="0"/>
    <n v="0"/>
    <n v="641.41999999999996"/>
    <n v="0"/>
    <n v="0"/>
    <n v="48.1"/>
    <n v="0"/>
    <n v="0"/>
    <n v="0"/>
    <n v="641.41999999999996"/>
    <n v="0"/>
    <n v="0"/>
    <n v="0"/>
    <n v="0"/>
    <n v="23.85"/>
    <n v="128.28"/>
    <n v="37.200000000000003"/>
    <n v="237.43"/>
    <n v="0"/>
    <n v="9.9999999999997868E-3"/>
    <s v="LUCAS DE OLIVEIRA CALUX"/>
    <n v="641.41999999999996"/>
    <n v="12.82"/>
    <n v="0"/>
    <n v="0"/>
    <s v="LUCAS DE OLIVEIRA CALUX"/>
    <n v="641.41999999999996"/>
    <n v="48.1"/>
    <n v="0"/>
    <n v="0"/>
  </r>
  <r>
    <s v="LUCIANO APARECIDO SANTOS"/>
    <x v="12"/>
    <s v="A"/>
    <s v="N"/>
    <n v="3350.62"/>
    <n v="0"/>
    <n v="0"/>
    <n v="0"/>
    <n v="0"/>
    <n v="268.05"/>
    <n v="0"/>
    <n v="0"/>
    <n v="0"/>
    <n v="0"/>
    <n v="3350.62"/>
    <n v="0"/>
    <n v="0"/>
    <n v="290.66000000000003"/>
    <n v="0"/>
    <n v="0"/>
    <n v="0"/>
    <n v="3350.62"/>
    <n v="0"/>
    <n v="0"/>
    <n v="0"/>
    <n v="0"/>
    <n v="124.57"/>
    <n v="670.12"/>
    <n v="194.34"/>
    <n v="1279.69"/>
    <n v="0"/>
    <n v="9.9999999999909051E-3"/>
    <s v="LUCIANO APARECIDO SANTOS"/>
    <n v="3350.62"/>
    <n v="268.04000000000002"/>
    <n v="0"/>
    <n v="0"/>
    <s v="LUCIANO APARECIDO SANTOS"/>
    <n v="3350.62"/>
    <n v="290.66000000000003"/>
    <n v="0"/>
    <n v="0"/>
  </r>
  <r>
    <s v="LUCIANO DO CARMO ARAUJO"/>
    <x v="1"/>
    <s v="A"/>
    <s v="N"/>
    <n v="5027.0600000000004"/>
    <n v="0"/>
    <n v="0"/>
    <n v="0"/>
    <n v="0"/>
    <n v="402.16"/>
    <n v="0"/>
    <n v="0"/>
    <n v="0"/>
    <n v="0"/>
    <n v="5027.0600000000004"/>
    <n v="0"/>
    <n v="0"/>
    <n v="505.29"/>
    <n v="0"/>
    <n v="0"/>
    <n v="0"/>
    <n v="5027.0600000000004"/>
    <n v="0"/>
    <n v="0"/>
    <n v="0"/>
    <n v="0"/>
    <n v="186.9"/>
    <n v="1005.41"/>
    <n v="291.57"/>
    <n v="1989.17"/>
    <n v="0"/>
    <n v="0"/>
    <s v="LUCIANO DO CARMO ARAUJO"/>
    <n v="5027.0600000000004"/>
    <n v="402.16"/>
    <n v="0"/>
    <n v="0"/>
    <s v="LUCIANO DO CARMO ARAUJO"/>
    <n v="5027.0600000000004"/>
    <n v="505.29"/>
    <n v="0"/>
    <n v="0"/>
  </r>
  <r>
    <s v="LUCIVALDO PEREIRA DE OLIVEIRA"/>
    <x v="13"/>
    <s v="A"/>
    <s v="N"/>
    <n v="4197.1499999999996"/>
    <n v="0"/>
    <n v="0"/>
    <n v="0"/>
    <n v="0"/>
    <n v="335.77"/>
    <n v="0"/>
    <n v="0"/>
    <n v="0"/>
    <n v="0"/>
    <n v="4197.1499999999996"/>
    <n v="0"/>
    <n v="0"/>
    <n v="392.24"/>
    <n v="0"/>
    <n v="0"/>
    <n v="0"/>
    <n v="4197.1499999999996"/>
    <n v="0"/>
    <n v="0"/>
    <n v="0"/>
    <n v="0"/>
    <n v="156.05000000000001"/>
    <n v="839.43"/>
    <n v="243.43"/>
    <n v="1631.15"/>
    <n v="0"/>
    <n v="0"/>
    <s v="LUCIVALDO PEREIRA DE OLIVEIRA"/>
    <n v="4197.1499999999996"/>
    <n v="335.77"/>
    <n v="0"/>
    <n v="0"/>
    <s v="LUCIVALDO PEREIRA DE OLIVEIRA"/>
    <n v="4197.1499999999996"/>
    <n v="392.24"/>
    <n v="0"/>
    <n v="0"/>
  </r>
  <r>
    <s v="LUIS DA SILVA RONDON"/>
    <x v="1"/>
    <s v="A"/>
    <s v="N"/>
    <n v="3066.89"/>
    <n v="0"/>
    <n v="0"/>
    <n v="0"/>
    <n v="0"/>
    <n v="245.35"/>
    <n v="0"/>
    <n v="0"/>
    <n v="0"/>
    <n v="0"/>
    <n v="3066.89"/>
    <n v="0"/>
    <n v="0"/>
    <n v="256.61"/>
    <n v="0"/>
    <n v="0"/>
    <n v="0"/>
    <n v="3066.89"/>
    <n v="0"/>
    <n v="0"/>
    <n v="0"/>
    <n v="0"/>
    <n v="114.02"/>
    <n v="613.38"/>
    <n v="177.88"/>
    <n v="1161.8900000000001"/>
    <n v="0"/>
    <n v="0"/>
    <s v="LUIS DA SILVA RONDON"/>
    <n v="3066.89"/>
    <n v="245.35"/>
    <n v="0"/>
    <n v="0"/>
    <s v="LUIS DA SILVA RONDON"/>
    <n v="3066.89"/>
    <n v="256.61"/>
    <n v="0"/>
    <n v="0"/>
  </r>
  <r>
    <s v="LUIS FERNANDO COELHO MACEDO DE SOUZA"/>
    <x v="1"/>
    <s v="A"/>
    <s v="N"/>
    <n v="3251.26"/>
    <n v="0"/>
    <n v="0"/>
    <n v="0"/>
    <n v="0"/>
    <n v="260.10000000000002"/>
    <n v="0"/>
    <n v="0"/>
    <n v="0"/>
    <n v="0"/>
    <n v="3251.26"/>
    <n v="0"/>
    <n v="0"/>
    <n v="278.74"/>
    <n v="0"/>
    <n v="0"/>
    <n v="0"/>
    <n v="3251.26"/>
    <n v="0"/>
    <n v="0"/>
    <n v="0"/>
    <n v="0"/>
    <n v="120.88"/>
    <n v="650.25"/>
    <n v="188.57"/>
    <n v="1238.44"/>
    <n v="0"/>
    <n v="0"/>
    <s v="LUIS FERNANDO COELHO MACEDO DE SOUZA"/>
    <n v="3251.26"/>
    <n v="260.10000000000002"/>
    <n v="0"/>
    <n v="0"/>
    <s v="LUIS FERNANDO COELHO MACEDO DE SOUZA"/>
    <n v="3251.26"/>
    <n v="278.74"/>
    <n v="0"/>
    <n v="0"/>
  </r>
  <r>
    <s v="LUIS FERNANDO DOS SANTOS"/>
    <x v="6"/>
    <s v="D"/>
    <s v="N"/>
    <n v="646.58000000000004"/>
    <n v="0"/>
    <n v="0"/>
    <n v="5361.96"/>
    <n v="0"/>
    <n v="51.73"/>
    <n v="0"/>
    <n v="0"/>
    <n v="428.96"/>
    <n v="0"/>
    <n v="646.58000000000004"/>
    <n v="5361.96"/>
    <n v="0"/>
    <n v="48.49"/>
    <n v="552.16999999999996"/>
    <n v="0"/>
    <n v="0"/>
    <n v="646.58000000000004"/>
    <n v="0"/>
    <n v="0"/>
    <n v="99.35"/>
    <n v="0"/>
    <n v="223.39"/>
    <n v="1201.71"/>
    <n v="348.5"/>
    <n v="2374.25"/>
    <n v="0"/>
    <n v="1.999999999998181E-2"/>
    <s v="LUIS FERNANDO DOS SANTOS"/>
    <n v="6008.54"/>
    <n v="480.67"/>
    <n v="0"/>
    <n v="0"/>
    <s v="LUIS FERNANDO DOS SANTOS"/>
    <n v="646.58000000000004"/>
    <n v="48.49"/>
    <n v="5361.96"/>
    <n v="552.16999999999996"/>
  </r>
  <r>
    <s v="LUIS FERNANDO MAGALHAES DA SILVA"/>
    <x v="1"/>
    <s v="A"/>
    <s v="N"/>
    <n v="6329.75"/>
    <n v="0"/>
    <n v="0"/>
    <n v="0"/>
    <n v="0"/>
    <n v="506.38"/>
    <n v="0"/>
    <n v="0"/>
    <n v="0"/>
    <n v="0"/>
    <n v="6329.75"/>
    <n v="0"/>
    <n v="0"/>
    <n v="687.66"/>
    <n v="0"/>
    <n v="0"/>
    <n v="0"/>
    <n v="6329.75"/>
    <n v="0"/>
    <n v="506.99"/>
    <n v="0"/>
    <n v="0"/>
    <n v="235.33"/>
    <n v="1265.95"/>
    <n v="367.13"/>
    <n v="2556.0700000000002"/>
    <n v="0"/>
    <n v="0"/>
    <s v="LUIS FERNANDO MAGALHAES DA SILVA"/>
    <n v="6329.75"/>
    <n v="506.38"/>
    <n v="0"/>
    <n v="0"/>
    <s v="LUIS FERNANDO MAGALHAES DA SILVA"/>
    <n v="6329.75"/>
    <n v="687.66"/>
    <n v="0"/>
    <n v="0"/>
  </r>
  <r>
    <s v="LUIS MAURO PIROLLA"/>
    <x v="2"/>
    <s v="A"/>
    <s v="N"/>
    <n v="6784.17"/>
    <n v="0"/>
    <n v="0"/>
    <n v="0"/>
    <n v="0"/>
    <n v="542.73"/>
    <n v="0"/>
    <n v="0"/>
    <n v="0"/>
    <n v="0"/>
    <n v="6784.17"/>
    <n v="0"/>
    <n v="0"/>
    <n v="751.28"/>
    <n v="0"/>
    <n v="0"/>
    <n v="0"/>
    <n v="6784.17"/>
    <n v="0"/>
    <n v="674.97"/>
    <n v="0"/>
    <n v="0"/>
    <n v="252.23"/>
    <n v="1356.83"/>
    <n v="393.48"/>
    <n v="2753.82"/>
    <n v="0"/>
    <n v="0"/>
    <s v="LUIS MAURO PIROLLA"/>
    <n v="6784.17"/>
    <n v="542.73"/>
    <n v="0"/>
    <n v="0"/>
    <s v="LUIS MAURO PIROLLA"/>
    <n v="6784.17"/>
    <n v="751.28"/>
    <n v="0"/>
    <n v="0"/>
  </r>
  <r>
    <s v="LUIZ CARLOS DE OLIVEIRA JESUS"/>
    <x v="1"/>
    <s v="A"/>
    <s v="N"/>
    <n v="6538.86"/>
    <n v="0"/>
    <n v="0"/>
    <n v="0"/>
    <n v="0"/>
    <n v="523.11"/>
    <n v="0"/>
    <n v="0"/>
    <n v="0"/>
    <n v="0"/>
    <n v="6538.86"/>
    <n v="0"/>
    <n v="0"/>
    <n v="716.94"/>
    <n v="0"/>
    <n v="0"/>
    <n v="0"/>
    <n v="6538.86"/>
    <n v="0"/>
    <n v="584.29"/>
    <n v="0"/>
    <n v="0"/>
    <n v="243.11"/>
    <n v="1307.77"/>
    <n v="379.25"/>
    <n v="2647.07"/>
    <n v="0"/>
    <n v="9.9999999999909051E-3"/>
    <s v="LUIZ CARLOS DE OLIVEIRA JESUS"/>
    <n v="6538.86"/>
    <n v="523.1"/>
    <n v="0"/>
    <n v="0"/>
    <s v="LUIZ CARLOS DE OLIVEIRA JESUS"/>
    <n v="6538.86"/>
    <n v="716.94"/>
    <n v="0"/>
    <n v="0"/>
  </r>
  <r>
    <s v="LUIZ CARLOS RODRIGUES MIRANDA"/>
    <x v="5"/>
    <s v="A"/>
    <s v="N"/>
    <n v="8130.51"/>
    <n v="0"/>
    <n v="0"/>
    <n v="0"/>
    <n v="0"/>
    <n v="650.44000000000005"/>
    <n v="0"/>
    <n v="0"/>
    <n v="0"/>
    <n v="0"/>
    <n v="8130.51"/>
    <n v="0"/>
    <n v="0"/>
    <n v="939.77"/>
    <n v="0"/>
    <n v="0"/>
    <n v="0"/>
    <n v="8130.51"/>
    <n v="0"/>
    <n v="1068.72"/>
    <n v="0"/>
    <n v="0"/>
    <n v="302.27999999999997"/>
    <n v="1626.1"/>
    <n v="471.57"/>
    <n v="3339.73"/>
    <n v="0"/>
    <n v="0"/>
    <s v="LUIZ CARLOS RODRIGUES MIRANDA"/>
    <n v="8130.51"/>
    <n v="650.44000000000005"/>
    <n v="0"/>
    <n v="0"/>
    <s v="LUIZ CARLOS RODRIGUES MIRANDA"/>
    <n v="8130.51"/>
    <n v="939.77"/>
    <n v="0"/>
    <n v="0"/>
  </r>
  <r>
    <s v="LUIZ DE SOUZA AMARAL SOBRINHO"/>
    <x v="7"/>
    <s v="A"/>
    <s v="N"/>
    <n v="1837.96"/>
    <n v="0"/>
    <n v="0"/>
    <n v="0"/>
    <n v="0"/>
    <n v="147.04"/>
    <n v="0"/>
    <n v="0"/>
    <n v="0"/>
    <n v="0"/>
    <n v="1837.96"/>
    <n v="0"/>
    <n v="0"/>
    <n v="141.09"/>
    <n v="0"/>
    <n v="0"/>
    <n v="0"/>
    <n v="1837.96"/>
    <n v="0"/>
    <n v="0"/>
    <n v="0"/>
    <n v="0"/>
    <n v="68.33"/>
    <n v="367.59"/>
    <n v="106.6"/>
    <n v="683.62"/>
    <n v="0"/>
    <n v="9.9999999999909051E-3"/>
    <s v="LUIZ DE SOUZA AMARAL SOBRINHO"/>
    <n v="1837.96"/>
    <n v="147.03"/>
    <n v="0"/>
    <n v="0"/>
    <s v="LUIZ DE SOUZA AMARAL SOBRINHO"/>
    <n v="1837.96"/>
    <n v="141.09"/>
    <n v="0"/>
    <n v="0"/>
  </r>
  <r>
    <s v="LUIZ HENRIQUE OLIVEIRA DO CARMO"/>
    <x v="1"/>
    <s v="A"/>
    <s v="N"/>
    <n v="710.5"/>
    <n v="0"/>
    <n v="0"/>
    <n v="0"/>
    <n v="0"/>
    <n v="56.84"/>
    <n v="0"/>
    <n v="0"/>
    <n v="0"/>
    <n v="0"/>
    <n v="710.5"/>
    <n v="0"/>
    <n v="0"/>
    <n v="53.28"/>
    <n v="0"/>
    <n v="0"/>
    <n v="0"/>
    <n v="710.5"/>
    <n v="0"/>
    <n v="0"/>
    <n v="0"/>
    <n v="0"/>
    <n v="26.42"/>
    <n v="142.1"/>
    <n v="41.21"/>
    <n v="263"/>
    <n v="0"/>
    <n v="0"/>
    <s v="LUIZ HENRIQUE OLIVEIRA DO CARMO"/>
    <n v="710.5"/>
    <n v="56.84"/>
    <n v="0"/>
    <n v="0"/>
    <s v="LUIZ HENRIQUE OLIVEIRA DO CARMO"/>
    <n v="710.5"/>
    <n v="53.28"/>
    <n v="0"/>
    <n v="0"/>
  </r>
  <r>
    <s v="MANOEL FRANCISCO DA SILVA FILHO"/>
    <x v="1"/>
    <s v="A"/>
    <s v="N"/>
    <n v="3551.91"/>
    <n v="0"/>
    <n v="0"/>
    <n v="0"/>
    <n v="0"/>
    <n v="284.14999999999998"/>
    <n v="0"/>
    <n v="0"/>
    <n v="0"/>
    <n v="0"/>
    <n v="3551.91"/>
    <n v="0"/>
    <n v="0"/>
    <n v="314.81"/>
    <n v="0"/>
    <n v="0"/>
    <n v="0"/>
    <n v="3551.91"/>
    <n v="0"/>
    <n v="0"/>
    <n v="0"/>
    <n v="0"/>
    <n v="132.06"/>
    <n v="710.38"/>
    <n v="206.01"/>
    <n v="1363.26"/>
    <n v="0"/>
    <n v="0"/>
    <s v="MANOEL FRANCISCO DA SILVA FILHO"/>
    <n v="3551.91"/>
    <n v="284.14999999999998"/>
    <n v="0"/>
    <n v="0"/>
    <s v="MANOEL FRANCISCO DA SILVA FILHO"/>
    <n v="3551.91"/>
    <n v="314.81"/>
    <n v="0"/>
    <n v="0"/>
  </r>
  <r>
    <s v="MARCELO LACERDA DA SILVA"/>
    <x v="6"/>
    <s v="A"/>
    <s v="N"/>
    <n v="3858.25"/>
    <n v="0"/>
    <n v="0"/>
    <n v="0"/>
    <n v="0"/>
    <n v="308.66000000000003"/>
    <n v="0"/>
    <n v="0"/>
    <n v="0"/>
    <n v="0"/>
    <n v="3858.25"/>
    <n v="0"/>
    <n v="0"/>
    <n v="351.57"/>
    <n v="0"/>
    <n v="0"/>
    <n v="0"/>
    <n v="3858.25"/>
    <n v="0"/>
    <n v="0"/>
    <n v="0"/>
    <n v="0"/>
    <n v="143.44999999999999"/>
    <n v="771.65"/>
    <n v="223.78"/>
    <n v="1490.44"/>
    <n v="0"/>
    <n v="0"/>
    <s v="MARCELO LACERDA DA SILVA"/>
    <n v="3858.25"/>
    <n v="308.66000000000003"/>
    <n v="0"/>
    <n v="0"/>
    <s v="MARCELO LACERDA DA SILVA"/>
    <n v="3858.25"/>
    <n v="351.57"/>
    <n v="0"/>
    <n v="0"/>
  </r>
  <r>
    <s v="MARCELO VITOR DOS SANTOS"/>
    <x v="5"/>
    <s v="A"/>
    <s v="N"/>
    <n v="2925.06"/>
    <n v="0"/>
    <n v="0"/>
    <n v="0"/>
    <n v="0"/>
    <n v="234"/>
    <n v="0"/>
    <n v="0"/>
    <n v="0"/>
    <n v="0"/>
    <n v="2925.06"/>
    <n v="0"/>
    <n v="0"/>
    <n v="239.59"/>
    <n v="0"/>
    <n v="0"/>
    <n v="0"/>
    <n v="2925.06"/>
    <n v="0"/>
    <n v="0"/>
    <n v="0"/>
    <n v="0"/>
    <n v="108.75"/>
    <n v="585.01"/>
    <n v="169.65"/>
    <n v="1103.01"/>
    <n v="0"/>
    <n v="0"/>
    <s v="MARCELO VITOR DOS SANTOS"/>
    <n v="2925.06"/>
    <n v="234"/>
    <n v="0"/>
    <n v="0"/>
    <s v="MARCELO VITOR DOS SANTOS"/>
    <n v="2925.06"/>
    <n v="239.59"/>
    <n v="0"/>
    <n v="0"/>
  </r>
  <r>
    <s v="MARCILIO OLIVEIRA DE ALMEIDA"/>
    <x v="1"/>
    <s v="A"/>
    <s v="N"/>
    <n v="4102.82"/>
    <n v="0"/>
    <n v="0"/>
    <n v="0"/>
    <n v="0"/>
    <n v="328.23"/>
    <n v="0"/>
    <n v="0"/>
    <n v="0"/>
    <n v="0"/>
    <n v="4102.82"/>
    <n v="0"/>
    <n v="0"/>
    <n v="380.92"/>
    <n v="0"/>
    <n v="0"/>
    <n v="0"/>
    <n v="4102.82"/>
    <n v="0"/>
    <n v="0"/>
    <n v="0"/>
    <n v="0"/>
    <n v="152.54"/>
    <n v="820.56"/>
    <n v="237.96"/>
    <n v="1591.99"/>
    <n v="0"/>
    <n v="9.9999999999909051E-3"/>
    <s v="MARCILIO OLIVEIRA DE ALMEIDA"/>
    <n v="4102.82"/>
    <n v="328.22"/>
    <n v="0"/>
    <n v="0"/>
    <s v="MARCILIO OLIVEIRA DE ALMEIDA"/>
    <n v="4102.82"/>
    <n v="380.92"/>
    <n v="0"/>
    <n v="0"/>
  </r>
  <r>
    <s v="MARCIO MEDEIROS DA SILVA"/>
    <x v="10"/>
    <s v="A"/>
    <s v="N"/>
    <n v="3927.39"/>
    <n v="0"/>
    <n v="0"/>
    <n v="0"/>
    <n v="0"/>
    <n v="314.19"/>
    <n v="0"/>
    <n v="0"/>
    <n v="0"/>
    <n v="0"/>
    <n v="3927.39"/>
    <n v="0"/>
    <n v="0"/>
    <n v="359.87"/>
    <n v="0"/>
    <n v="0"/>
    <n v="0"/>
    <n v="3927.39"/>
    <n v="0"/>
    <n v="0"/>
    <n v="0"/>
    <n v="0"/>
    <n v="146.02000000000001"/>
    <n v="785.48"/>
    <n v="227.79"/>
    <n v="1519.15"/>
    <n v="0"/>
    <n v="0"/>
    <s v="MARCIO MEDEIROS DA SILVA"/>
    <n v="3927.39"/>
    <n v="314.19"/>
    <n v="0"/>
    <n v="0"/>
    <s v="MARCIO MEDEIROS DA SILVA"/>
    <n v="3927.39"/>
    <n v="359.87"/>
    <n v="0"/>
    <n v="0"/>
  </r>
  <r>
    <s v="MARCO AURELIO RODRIGUES MORENO"/>
    <x v="12"/>
    <s v="D"/>
    <s v="N"/>
    <n v="1023.49"/>
    <n v="0"/>
    <n v="0"/>
    <n v="583.33000000000004"/>
    <n v="0"/>
    <n v="81.88"/>
    <n v="0"/>
    <n v="0"/>
    <n v="46.67"/>
    <n v="0"/>
    <n v="1023.49"/>
    <n v="583.33000000000004"/>
    <n v="0"/>
    <n v="76.760000000000005"/>
    <n v="43.74"/>
    <n v="0"/>
    <n v="0"/>
    <n v="625.76"/>
    <n v="0"/>
    <n v="0"/>
    <n v="0"/>
    <n v="0"/>
    <n v="59.74"/>
    <n v="321.36"/>
    <n v="93.2"/>
    <n v="594.79999999999995"/>
    <n v="0"/>
    <n v="2.0000000000010232E-2"/>
    <s v="MARCO AURELIO RODRIGUES MORENO"/>
    <n v="1606.82"/>
    <n v="128.53"/>
    <n v="0"/>
    <n v="0"/>
    <s v="MARCO AURELIO RODRIGUES MORENO"/>
    <n v="1023.49"/>
    <n v="76.760000000000005"/>
    <n v="583.33000000000004"/>
    <n v="43.74"/>
  </r>
  <r>
    <s v="MARCOS ANTONIO DOS SANTOS"/>
    <x v="12"/>
    <s v="A"/>
    <s v="N"/>
    <n v="1250.97"/>
    <n v="0"/>
    <n v="0"/>
    <n v="0"/>
    <n v="0"/>
    <n v="100.08"/>
    <n v="0"/>
    <n v="0"/>
    <n v="0"/>
    <n v="0"/>
    <n v="1250.97"/>
    <n v="0"/>
    <n v="0"/>
    <n v="93.82"/>
    <n v="0"/>
    <n v="0"/>
    <n v="0"/>
    <n v="1250.97"/>
    <n v="0"/>
    <n v="0"/>
    <n v="0"/>
    <n v="0"/>
    <n v="46.51"/>
    <n v="250.19"/>
    <n v="72.56"/>
    <n v="463.08"/>
    <n v="0"/>
    <n v="1.0000000000005116E-2"/>
    <s v="MARCOS ANTONIO DOS SANTOS"/>
    <n v="1250.97"/>
    <n v="100.07"/>
    <n v="0"/>
    <n v="0"/>
    <s v="MARCOS ANTONIO DOS SANTOS"/>
    <n v="1250.97"/>
    <n v="93.82"/>
    <n v="0"/>
    <n v="0"/>
  </r>
  <r>
    <s v="MARIA APARECIDA DE SOUZA DA SILVA"/>
    <x v="4"/>
    <s v="P"/>
    <s v="N"/>
    <n v="71.33"/>
    <n v="0"/>
    <n v="0"/>
    <n v="0"/>
    <n v="0"/>
    <n v="5.71"/>
    <n v="0"/>
    <n v="0"/>
    <n v="0"/>
    <n v="0"/>
    <n v="71.33"/>
    <n v="0"/>
    <n v="0"/>
    <n v="5.34"/>
    <n v="0"/>
    <n v="0"/>
    <n v="0"/>
    <n v="71.33"/>
    <n v="0"/>
    <n v="0"/>
    <n v="0"/>
    <n v="0"/>
    <n v="2.65"/>
    <n v="14.27"/>
    <n v="4.1399999999999997"/>
    <n v="26.4"/>
    <n v="0"/>
    <n v="9.9999999999997868E-3"/>
    <s v="MARIA APARECIDA DE SOUZA DA SILVA"/>
    <n v="71.33"/>
    <n v="5.7"/>
    <n v="0"/>
    <n v="0"/>
    <s v="MARIA APARECIDA DE SOUZA DA SILVA"/>
    <n v="71.33"/>
    <n v="5.34"/>
    <n v="0"/>
    <n v="0"/>
  </r>
  <r>
    <s v="MARIVAN DOS SANTOS SILVA"/>
    <x v="13"/>
    <s v="A"/>
    <s v="N"/>
    <n v="2251.86"/>
    <n v="0"/>
    <n v="0"/>
    <n v="0"/>
    <n v="0"/>
    <n v="180.15"/>
    <n v="0"/>
    <n v="0"/>
    <n v="0"/>
    <n v="0"/>
    <n v="2251.86"/>
    <n v="0"/>
    <n v="0"/>
    <n v="178.34"/>
    <n v="0"/>
    <n v="0"/>
    <n v="0"/>
    <n v="2251.86"/>
    <n v="0"/>
    <n v="0"/>
    <n v="0"/>
    <n v="0"/>
    <n v="83.72"/>
    <n v="450.37"/>
    <n v="130.61000000000001"/>
    <n v="843.04"/>
    <n v="0"/>
    <n v="1.0000000000019327E-2"/>
    <s v="MARIVAN DOS SANTOS SILVA"/>
    <n v="2251.86"/>
    <n v="180.14"/>
    <n v="0"/>
    <n v="0"/>
    <s v="MARIVAN DOS SANTOS SILVA"/>
    <n v="2251.86"/>
    <n v="178.34"/>
    <n v="0"/>
    <n v="0"/>
  </r>
  <r>
    <s v="MATEUS PRATES DE ARAUJO"/>
    <x v="13"/>
    <s v="A"/>
    <s v="N"/>
    <n v="2070.61"/>
    <n v="0"/>
    <n v="0"/>
    <n v="0"/>
    <n v="0"/>
    <n v="165.65"/>
    <n v="0"/>
    <n v="0"/>
    <n v="0"/>
    <n v="0"/>
    <n v="2070.61"/>
    <n v="0"/>
    <n v="0"/>
    <n v="162.03"/>
    <n v="0"/>
    <n v="0"/>
    <n v="0"/>
    <n v="2070.61"/>
    <n v="0"/>
    <n v="0"/>
    <n v="0"/>
    <n v="0"/>
    <n v="76.98"/>
    <n v="414.12"/>
    <n v="120.1"/>
    <n v="773.23"/>
    <n v="0"/>
    <n v="1.0000000000019327E-2"/>
    <s v="MATEUS PRATES DE ARAUJO"/>
    <n v="2070.61"/>
    <n v="165.64"/>
    <n v="0"/>
    <n v="0"/>
    <s v="MATEUS PRATES DE ARAUJO"/>
    <n v="2070.61"/>
    <n v="162.03"/>
    <n v="0"/>
    <n v="0"/>
  </r>
  <r>
    <s v="MATHEUS FERREIRA PORTO"/>
    <x v="7"/>
    <s v="A"/>
    <s v="N"/>
    <n v="2135.0100000000002"/>
    <n v="0"/>
    <n v="0"/>
    <n v="0"/>
    <n v="0"/>
    <n v="170.8"/>
    <n v="0"/>
    <n v="0"/>
    <n v="0"/>
    <n v="0"/>
    <n v="2135.0100000000002"/>
    <n v="0"/>
    <n v="0"/>
    <n v="167.83"/>
    <n v="0"/>
    <n v="0"/>
    <n v="0"/>
    <n v="2135.0100000000002"/>
    <n v="0"/>
    <n v="0"/>
    <n v="0"/>
    <n v="0"/>
    <n v="79.38"/>
    <n v="427"/>
    <n v="123.83"/>
    <n v="798.04"/>
    <n v="0"/>
    <n v="0"/>
    <s v="MATHEUS FERREIRA PORTO"/>
    <n v="2135.0100000000002"/>
    <n v="170.8"/>
    <n v="0"/>
    <n v="0"/>
    <s v="MATHEUS FERREIRA PORTO"/>
    <n v="2135.0100000000002"/>
    <n v="167.83"/>
    <n v="0"/>
    <n v="0"/>
  </r>
  <r>
    <s v="MAURO APARECIDO DA SILVA LOPES"/>
    <x v="1"/>
    <s v="A"/>
    <s v="N"/>
    <n v="6128.16"/>
    <n v="0"/>
    <n v="0"/>
    <n v="0"/>
    <n v="0"/>
    <n v="490.25"/>
    <n v="0"/>
    <n v="0"/>
    <n v="0"/>
    <n v="0"/>
    <n v="6128.16"/>
    <n v="0"/>
    <n v="0"/>
    <n v="659.44"/>
    <n v="0"/>
    <n v="0"/>
    <n v="0"/>
    <n v="6128.16"/>
    <n v="0"/>
    <n v="432.48"/>
    <n v="0"/>
    <n v="0"/>
    <n v="227.84"/>
    <n v="1225.6300000000001"/>
    <n v="355.43"/>
    <n v="2468.34"/>
    <n v="0"/>
    <n v="0"/>
    <s v="MAURO APARECIDO DA SILVA LOPES"/>
    <n v="6128.16"/>
    <n v="490.25"/>
    <n v="0"/>
    <n v="0"/>
    <s v="MAURO APARECIDO DA SILVA LOPES"/>
    <n v="6128.16"/>
    <n v="659.44"/>
    <n v="0"/>
    <n v="0"/>
  </r>
  <r>
    <s v="MIKAEL EUNORIO DA SILVA COSTA"/>
    <x v="1"/>
    <s v="A"/>
    <s v="N"/>
    <n v="3743.33"/>
    <n v="0"/>
    <n v="0"/>
    <n v="0"/>
    <n v="0"/>
    <n v="299.47000000000003"/>
    <n v="0"/>
    <n v="0"/>
    <n v="0"/>
    <n v="0"/>
    <n v="3743.33"/>
    <n v="0"/>
    <n v="0"/>
    <n v="337.78"/>
    <n v="0"/>
    <n v="0"/>
    <n v="0"/>
    <n v="3743.33"/>
    <n v="0"/>
    <n v="0"/>
    <n v="0"/>
    <n v="0"/>
    <n v="139.16999999999999"/>
    <n v="748.67"/>
    <n v="217.11"/>
    <n v="1442.73"/>
    <n v="0"/>
    <n v="1.0000000000047748E-2"/>
    <s v="MIKAEL EUNORIO DA SILVA COSTA"/>
    <n v="3743.33"/>
    <n v="299.45999999999998"/>
    <n v="0"/>
    <n v="0"/>
    <s v="MIKAEL EUNORIO DA SILVA COSTA"/>
    <n v="3743.33"/>
    <n v="337.78"/>
    <n v="0"/>
    <n v="0"/>
  </r>
  <r>
    <s v="MOYSES DA GUIA FERRAZ"/>
    <x v="1"/>
    <s v="A"/>
    <s v="N"/>
    <n v="7347.45"/>
    <n v="0"/>
    <n v="0"/>
    <n v="0"/>
    <n v="0"/>
    <n v="587.79999999999995"/>
    <n v="0"/>
    <n v="0"/>
    <n v="0"/>
    <n v="0"/>
    <n v="7347.45"/>
    <n v="0"/>
    <n v="0"/>
    <n v="830.14"/>
    <n v="0"/>
    <n v="0"/>
    <n v="0"/>
    <n v="7347.45"/>
    <n v="0"/>
    <n v="883.18"/>
    <n v="0"/>
    <n v="0"/>
    <n v="273.17"/>
    <n v="1469.49"/>
    <n v="426.15"/>
    <n v="2998.95"/>
    <n v="0"/>
    <n v="9.9999999999909051E-3"/>
    <s v="MOYSES DA GUIA FERRAZ"/>
    <n v="7347.45"/>
    <n v="587.79"/>
    <n v="0"/>
    <n v="0"/>
    <s v="MOYSES DA GUIA FERRAZ"/>
    <n v="7347.45"/>
    <n v="830.14"/>
    <n v="0"/>
    <n v="0"/>
  </r>
  <r>
    <s v="NATALIA DE ASSIS DE CAMARGO"/>
    <x v="7"/>
    <s v="A"/>
    <s v="N"/>
    <n v="2114.15"/>
    <n v="0"/>
    <n v="0"/>
    <n v="0"/>
    <n v="0"/>
    <n v="169.13"/>
    <n v="0"/>
    <n v="0"/>
    <n v="0"/>
    <n v="0"/>
    <n v="2114.15"/>
    <n v="0"/>
    <n v="0"/>
    <n v="165.95"/>
    <n v="0"/>
    <n v="0"/>
    <n v="0"/>
    <n v="2114.15"/>
    <n v="0"/>
    <n v="0"/>
    <n v="0"/>
    <n v="0"/>
    <n v="78.599999999999994"/>
    <n v="422.83"/>
    <n v="122.62"/>
    <n v="790"/>
    <n v="0"/>
    <n v="0"/>
    <s v="NATALIA DE ASSIS DE CAMARGO"/>
    <n v="2114.15"/>
    <n v="169.13"/>
    <n v="0"/>
    <n v="0"/>
    <s v="NATALIA DE ASSIS DE CAMARGO"/>
    <n v="2114.15"/>
    <n v="165.95"/>
    <n v="0"/>
    <n v="0"/>
  </r>
  <r>
    <s v="NATANAEL SABINO BATISTA"/>
    <x v="1"/>
    <s v="A"/>
    <s v="N"/>
    <n v="710.5"/>
    <n v="0"/>
    <n v="0"/>
    <n v="0"/>
    <n v="0"/>
    <n v="56.84"/>
    <n v="0"/>
    <n v="0"/>
    <n v="0"/>
    <n v="0"/>
    <n v="710.5"/>
    <n v="0"/>
    <n v="0"/>
    <n v="53.28"/>
    <n v="0"/>
    <n v="0"/>
    <n v="0"/>
    <n v="710.5"/>
    <n v="0"/>
    <n v="0"/>
    <n v="0"/>
    <n v="0"/>
    <n v="26.42"/>
    <n v="142.1"/>
    <n v="41.21"/>
    <n v="263"/>
    <n v="0"/>
    <n v="0"/>
    <s v="NATANAEL SABINO BATISTA"/>
    <n v="710.5"/>
    <n v="56.84"/>
    <n v="0"/>
    <n v="0"/>
    <s v="NATANAEL SABINO BATISTA"/>
    <n v="710.5"/>
    <n v="53.28"/>
    <n v="0"/>
    <n v="0"/>
  </r>
  <r>
    <s v="NEYVALDO EVANGELISTA DE MEDEIROS"/>
    <x v="1"/>
    <s v="A"/>
    <s v="N"/>
    <n v="5863.66"/>
    <n v="0"/>
    <n v="0"/>
    <n v="0"/>
    <n v="0"/>
    <n v="469.09"/>
    <n v="0"/>
    <n v="0"/>
    <n v="0"/>
    <n v="0"/>
    <n v="5863.66"/>
    <n v="0"/>
    <n v="0"/>
    <n v="622.41"/>
    <n v="0"/>
    <n v="0"/>
    <n v="0"/>
    <n v="5863.66"/>
    <n v="0"/>
    <n v="334.71"/>
    <n v="0"/>
    <n v="0"/>
    <n v="218.01"/>
    <n v="1172.73"/>
    <n v="340.09"/>
    <n v="2353.2399999999998"/>
    <n v="0"/>
    <n v="0"/>
    <s v="NEYVALDO EVANGELISTA DE MEDEIROS"/>
    <n v="5863.66"/>
    <n v="469.09"/>
    <n v="0"/>
    <n v="0"/>
    <s v="NEYVALDO EVANGELISTA DE MEDEIROS"/>
    <n v="5863.66"/>
    <n v="622.41"/>
    <n v="0"/>
    <n v="0"/>
  </r>
  <r>
    <s v="NICOLAS KAUE GUTIERREZ DA SILVA"/>
    <x v="1"/>
    <s v="A"/>
    <s v="N"/>
    <n v="2036.8"/>
    <n v="0"/>
    <n v="0"/>
    <n v="0"/>
    <n v="0"/>
    <n v="162.94"/>
    <n v="0"/>
    <n v="0"/>
    <n v="0"/>
    <n v="0"/>
    <n v="2036.8"/>
    <n v="0"/>
    <n v="0"/>
    <n v="158.99"/>
    <n v="0"/>
    <n v="0"/>
    <n v="0"/>
    <n v="2036.8"/>
    <n v="0"/>
    <n v="0"/>
    <n v="0"/>
    <n v="0"/>
    <n v="75.73"/>
    <n v="407.36"/>
    <n v="118.13"/>
    <n v="760.21"/>
    <n v="0"/>
    <n v="0"/>
    <s v="NICOLAS KAUE GUTIERREZ DA SILVA"/>
    <n v="2036.8"/>
    <n v="162.94"/>
    <n v="0"/>
    <n v="0"/>
    <s v="NICOLAS KAUE GUTIERREZ DA SILVA"/>
    <n v="2036.8"/>
    <n v="158.99"/>
    <n v="0"/>
    <n v="0"/>
  </r>
  <r>
    <s v="OELDSON GONÇALO DE LIMA DOS SANTOS"/>
    <x v="1"/>
    <s v="A"/>
    <s v="N"/>
    <n v="3853.83"/>
    <n v="0"/>
    <n v="0"/>
    <n v="0"/>
    <n v="0"/>
    <n v="308.31"/>
    <n v="0"/>
    <n v="0"/>
    <n v="0"/>
    <n v="0"/>
    <n v="3853.83"/>
    <n v="0"/>
    <n v="0"/>
    <n v="351.04"/>
    <n v="0"/>
    <n v="0"/>
    <n v="0"/>
    <n v="3853.83"/>
    <n v="0"/>
    <n v="0"/>
    <n v="0"/>
    <n v="0"/>
    <n v="143.28"/>
    <n v="770.77"/>
    <n v="223.52"/>
    <n v="1488.61"/>
    <n v="0"/>
    <n v="9.9999999999909051E-3"/>
    <s v="OELDSON GONCALO DE LIMA DOS SANTOS"/>
    <n v="3853.83"/>
    <n v="308.3"/>
    <n v="0"/>
    <n v="0"/>
    <s v="OELDSON GONCALO DE LIMA DOS SANTOS"/>
    <n v="3853.83"/>
    <n v="351.04"/>
    <n v="0"/>
    <n v="0"/>
  </r>
  <r>
    <s v="OLAVO FAUSTINO"/>
    <x v="7"/>
    <s v="A"/>
    <s v="N"/>
    <n v="2354.0100000000002"/>
    <n v="0"/>
    <n v="0"/>
    <n v="0"/>
    <n v="0"/>
    <n v="188.32"/>
    <n v="0"/>
    <n v="0"/>
    <n v="0"/>
    <n v="0"/>
    <n v="2354.0100000000002"/>
    <n v="0"/>
    <n v="0"/>
    <n v="187.54"/>
    <n v="0"/>
    <n v="0"/>
    <n v="0"/>
    <n v="2354.0100000000002"/>
    <n v="0"/>
    <n v="0"/>
    <n v="0"/>
    <n v="0"/>
    <n v="87.52"/>
    <n v="470.8"/>
    <n v="136.53"/>
    <n v="882.39"/>
    <n v="0"/>
    <n v="0"/>
    <s v="OLAVO FAUSTINO"/>
    <n v="2354.0100000000002"/>
    <n v="188.32"/>
    <n v="0"/>
    <n v="0"/>
    <s v="OLAVO FAUSTINO"/>
    <n v="2354.0100000000002"/>
    <n v="187.54"/>
    <n v="0"/>
    <n v="0"/>
  </r>
  <r>
    <s v="OLIVER RAFAEL LEPAGE LUQUE"/>
    <x v="1"/>
    <s v="P"/>
    <s v="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m/>
    <m/>
    <m/>
    <m/>
    <m/>
  </r>
  <r>
    <s v="OSEIAS ROSA DOS REIS"/>
    <x v="6"/>
    <s v="P"/>
    <s v="N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m/>
    <n v="0"/>
    <n v="0"/>
    <m/>
    <m/>
    <m/>
    <m/>
    <m/>
  </r>
  <r>
    <s v="OTANIEL DOS SANTOS FELIX"/>
    <x v="1"/>
    <s v="A"/>
    <s v="N"/>
    <n v="5811.6"/>
    <n v="0"/>
    <n v="0"/>
    <n v="0"/>
    <n v="0"/>
    <n v="464.93"/>
    <n v="0"/>
    <n v="0"/>
    <n v="0"/>
    <n v="0"/>
    <n v="5811.6"/>
    <n v="0"/>
    <n v="0"/>
    <n v="615.12"/>
    <n v="0"/>
    <n v="0"/>
    <n v="0"/>
    <n v="5811.6"/>
    <n v="0"/>
    <n v="315.45999999999998"/>
    <n v="0"/>
    <n v="0"/>
    <n v="216.07"/>
    <n v="1162.32"/>
    <n v="337.07"/>
    <n v="2330.58"/>
    <n v="0"/>
    <n v="9.9999999999909051E-3"/>
    <s v="OTANIEL DOS SANTOS FELIX"/>
    <n v="5811.6"/>
    <n v="464.92"/>
    <n v="0"/>
    <n v="0"/>
    <s v="OTANIEL DOS SANTOS FELIX"/>
    <n v="5811.6"/>
    <n v="615.12"/>
    <n v="0"/>
    <n v="0"/>
  </r>
  <r>
    <s v="OTAVIO AUGUSTO SOUZA RODRIGUES"/>
    <x v="1"/>
    <s v="Q"/>
    <s v="N"/>
    <n v="1657.59"/>
    <n v="0"/>
    <n v="0"/>
    <n v="0"/>
    <n v="0"/>
    <n v="132.61000000000001"/>
    <n v="0"/>
    <n v="0"/>
    <n v="0"/>
    <n v="0"/>
    <n v="1657.59"/>
    <n v="0"/>
    <n v="0"/>
    <n v="124.86"/>
    <n v="0"/>
    <n v="0"/>
    <n v="0"/>
    <n v="1657.59"/>
    <n v="0"/>
    <n v="0"/>
    <n v="0"/>
    <n v="0"/>
    <n v="61.63"/>
    <n v="331.52"/>
    <n v="96.14"/>
    <n v="614.15"/>
    <n v="0"/>
    <n v="1.0000000000019327E-2"/>
    <s v="OTAVIO AUGUSTO SOUZA RODRIGUES"/>
    <n v="1657.59"/>
    <n v="132.6"/>
    <n v="0"/>
    <n v="0"/>
    <s v="OTAVIO AUGUSTO SOUZA RODRIGUES"/>
    <n v="1657.59"/>
    <n v="124.86"/>
    <n v="0"/>
    <n v="0"/>
  </r>
  <r>
    <s v="OTAVIO RYAN LOPES PEREIRA"/>
    <x v="9"/>
    <s v="A"/>
    <s v="Z"/>
    <n v="266.67"/>
    <n v="0"/>
    <n v="0"/>
    <n v="0"/>
    <n v="0"/>
    <n v="5.33"/>
    <n v="0"/>
    <n v="0"/>
    <n v="0"/>
    <n v="0"/>
    <n v="266.67"/>
    <n v="0"/>
    <n v="0"/>
    <n v="20"/>
    <n v="0"/>
    <n v="0"/>
    <n v="0"/>
    <n v="266.67"/>
    <n v="0"/>
    <n v="0"/>
    <n v="0"/>
    <n v="0"/>
    <n v="9.91"/>
    <n v="53.33"/>
    <n v="15.47"/>
    <n v="98.72"/>
    <n v="0"/>
    <n v="0"/>
    <s v="OTAVIO RYAN LOPES PEREIRA"/>
    <n v="266.67"/>
    <n v="5.33"/>
    <n v="0"/>
    <n v="0"/>
    <s v="OTAVIO RYAN LOPES PEREIRA"/>
    <n v="266.67"/>
    <n v="20"/>
    <n v="0"/>
    <n v="0"/>
  </r>
  <r>
    <s v="PAULO BENVINDO DA SILVA"/>
    <x v="8"/>
    <s v="A"/>
    <s v="N"/>
    <n v="2929.01"/>
    <n v="0"/>
    <n v="0"/>
    <n v="0"/>
    <n v="0"/>
    <n v="234.32"/>
    <n v="0"/>
    <n v="0"/>
    <n v="0"/>
    <n v="0"/>
    <n v="2929.01"/>
    <n v="0"/>
    <n v="0"/>
    <n v="240.07"/>
    <n v="0"/>
    <n v="0"/>
    <n v="0"/>
    <n v="2929.01"/>
    <n v="0"/>
    <n v="0"/>
    <n v="0"/>
    <n v="0"/>
    <n v="108.9"/>
    <n v="585.79999999999995"/>
    <n v="169.88"/>
    <n v="1104.6500000000001"/>
    <n v="0"/>
    <n v="0"/>
    <s v="PAULO BENVINDO DA SILVA"/>
    <n v="2929.01"/>
    <n v="234.32"/>
    <n v="0"/>
    <n v="0"/>
    <s v="PAULO BENVINDO DA SILVA"/>
    <n v="2929.01"/>
    <n v="240.07"/>
    <n v="0"/>
    <n v="0"/>
  </r>
  <r>
    <s v="PAULO CESAR ALBINO DE SOUZA"/>
    <x v="4"/>
    <s v="A"/>
    <s v="N"/>
    <n v="2322.27"/>
    <n v="0"/>
    <n v="0"/>
    <n v="0"/>
    <n v="0"/>
    <n v="185.78"/>
    <n v="0"/>
    <n v="0"/>
    <n v="0"/>
    <n v="0"/>
    <n v="2322.27"/>
    <n v="0"/>
    <n v="0"/>
    <n v="184.68"/>
    <n v="0"/>
    <n v="0"/>
    <n v="0"/>
    <n v="2322.27"/>
    <n v="0"/>
    <n v="0"/>
    <n v="0"/>
    <n v="0"/>
    <n v="86.34"/>
    <n v="464.45"/>
    <n v="134.69"/>
    <n v="870.17"/>
    <n v="0"/>
    <n v="0"/>
    <s v="PAULO CESAR ALBINO DE SOUZA"/>
    <n v="2322.27"/>
    <n v="185.78"/>
    <n v="0"/>
    <n v="0"/>
    <s v="PAULO CESAR ALBINO DE SOUZA"/>
    <n v="2322.27"/>
    <n v="184.68"/>
    <n v="0"/>
    <n v="0"/>
  </r>
  <r>
    <s v="PAULO CESAR CHAGAS"/>
    <x v="1"/>
    <s v="A"/>
    <s v="N"/>
    <n v="7341.56"/>
    <n v="0"/>
    <n v="0"/>
    <n v="0"/>
    <n v="0"/>
    <n v="587.32000000000005"/>
    <n v="0"/>
    <n v="0"/>
    <n v="0"/>
    <n v="0"/>
    <n v="7341.56"/>
    <n v="0"/>
    <n v="0"/>
    <n v="829.32"/>
    <n v="0"/>
    <n v="0"/>
    <n v="0"/>
    <n v="7341.56"/>
    <n v="0"/>
    <n v="881"/>
    <n v="0"/>
    <n v="0"/>
    <n v="272.95"/>
    <n v="1468.31"/>
    <n v="425.81"/>
    <n v="2996.39"/>
    <n v="0"/>
    <n v="0"/>
    <s v="PAULO CESAR CHAGAS"/>
    <n v="7341.56"/>
    <n v="587.32000000000005"/>
    <n v="0"/>
    <n v="0"/>
    <s v="PAULO CESAR CHAGAS"/>
    <n v="7341.56"/>
    <n v="829.32"/>
    <n v="0"/>
    <n v="0"/>
  </r>
  <r>
    <s v="PAULO HENRIQUE SILVA DOS SANTOS"/>
    <x v="1"/>
    <s v="A"/>
    <s v="N"/>
    <n v="3753.31"/>
    <n v="0"/>
    <n v="0"/>
    <n v="0"/>
    <n v="0"/>
    <n v="300.26"/>
    <n v="0"/>
    <n v="0"/>
    <n v="0"/>
    <n v="0"/>
    <n v="3753.31"/>
    <n v="0"/>
    <n v="0"/>
    <n v="338.98"/>
    <n v="0"/>
    <n v="0"/>
    <n v="0"/>
    <n v="3753.31"/>
    <n v="0"/>
    <n v="0"/>
    <n v="0"/>
    <n v="0"/>
    <n v="139.54"/>
    <n v="750.66"/>
    <n v="217.69"/>
    <n v="1446.88"/>
    <n v="0"/>
    <n v="0"/>
    <s v="PAULO HENRIQUE SILVA DOS SANTOS"/>
    <n v="3753.31"/>
    <n v="300.26"/>
    <n v="0"/>
    <n v="0"/>
    <s v="PAULO HENRIQUE SILVA DOS SANTOS"/>
    <n v="3753.31"/>
    <n v="338.98"/>
    <n v="0"/>
    <n v="0"/>
  </r>
  <r>
    <s v="PAULO HENRIQUE ZANUTO DO NASCIMENTO"/>
    <x v="10"/>
    <s v="A"/>
    <s v="N"/>
    <n v="2354.0100000000002"/>
    <n v="0"/>
    <n v="0"/>
    <n v="0"/>
    <n v="0"/>
    <n v="188.32"/>
    <n v="0"/>
    <n v="0"/>
    <n v="0"/>
    <n v="0"/>
    <n v="2354.0100000000002"/>
    <n v="0"/>
    <n v="0"/>
    <n v="187.54"/>
    <n v="0"/>
    <n v="0"/>
    <n v="0"/>
    <n v="2354.0100000000002"/>
    <n v="0"/>
    <n v="0"/>
    <n v="0"/>
    <n v="0"/>
    <n v="87.52"/>
    <n v="470.8"/>
    <n v="136.53"/>
    <n v="882.39"/>
    <n v="0"/>
    <n v="0"/>
    <s v="PAULO HENRIQUE ZANUTO DO NASCIMENTO"/>
    <n v="2354.0100000000002"/>
    <n v="188.32"/>
    <n v="0"/>
    <n v="0"/>
    <s v="PAULO HENRIQUE ZANUTO DO NASCIMENTO"/>
    <n v="2354.0100000000002"/>
    <n v="187.54"/>
    <n v="0"/>
    <n v="0"/>
  </r>
  <r>
    <s v="PEDRO DA COSTA CAMPOS SANTOS"/>
    <x v="1"/>
    <s v="A"/>
    <s v="N"/>
    <n v="3490.82"/>
    <n v="0"/>
    <n v="0"/>
    <n v="0"/>
    <n v="0"/>
    <n v="279.27"/>
    <n v="0"/>
    <n v="0"/>
    <n v="0"/>
    <n v="0"/>
    <n v="3490.82"/>
    <n v="0"/>
    <n v="0"/>
    <n v="307.48"/>
    <n v="0"/>
    <n v="0"/>
    <n v="0"/>
    <n v="3490.82"/>
    <n v="0"/>
    <n v="0"/>
    <n v="0"/>
    <n v="0"/>
    <n v="129.79"/>
    <n v="698.16"/>
    <n v="202.47"/>
    <n v="1337.9"/>
    <n v="0"/>
    <n v="9.9999999999909051E-3"/>
    <s v="PEDRO DA COSTA CAMPOS SANTOS"/>
    <n v="3490.82"/>
    <n v="279.26"/>
    <n v="0"/>
    <n v="0"/>
    <s v="PEDRO DA COSTA CAMPOS SANTOS"/>
    <n v="3490.82"/>
    <n v="307.48"/>
    <n v="0"/>
    <n v="0"/>
  </r>
  <r>
    <s v="PEDRO HENRIQUE NEVES DA SILVA LIMA"/>
    <x v="1"/>
    <s v="A"/>
    <s v="N"/>
    <n v="3610.07"/>
    <n v="0"/>
    <n v="0"/>
    <n v="0"/>
    <n v="0"/>
    <n v="288.81"/>
    <n v="0"/>
    <n v="0"/>
    <n v="0"/>
    <n v="0"/>
    <n v="3610.07"/>
    <n v="0"/>
    <n v="0"/>
    <n v="321.79000000000002"/>
    <n v="0"/>
    <n v="0"/>
    <n v="0"/>
    <n v="3610.07"/>
    <n v="0"/>
    <n v="0"/>
    <n v="0"/>
    <n v="0"/>
    <n v="134.22"/>
    <n v="722.01"/>
    <n v="209.38"/>
    <n v="1387.41"/>
    <n v="0"/>
    <n v="9.9999999999909051E-3"/>
    <s v="PEDRO HENRIQUE NEVES DA SILVA LIMA"/>
    <n v="3610.07"/>
    <n v="288.8"/>
    <n v="0"/>
    <n v="0"/>
    <s v="PEDRO HENRIQUE NEVES DA SILVA LIMA"/>
    <n v="3610.07"/>
    <n v="321.79000000000002"/>
    <n v="0"/>
    <n v="0"/>
  </r>
  <r>
    <s v="PEDRO LOPES"/>
    <x v="12"/>
    <s v="A"/>
    <s v="N"/>
    <n v="3251.49"/>
    <n v="0"/>
    <n v="0"/>
    <n v="0"/>
    <n v="0"/>
    <n v="260.12"/>
    <n v="0"/>
    <n v="0"/>
    <n v="0"/>
    <n v="0"/>
    <n v="3251.49"/>
    <n v="0"/>
    <n v="0"/>
    <n v="278.76"/>
    <n v="0"/>
    <n v="0"/>
    <n v="0"/>
    <n v="3251.49"/>
    <n v="0"/>
    <n v="0"/>
    <n v="0"/>
    <n v="0"/>
    <n v="120.89"/>
    <n v="650.29999999999995"/>
    <n v="188.59"/>
    <n v="1238.53"/>
    <n v="0"/>
    <n v="9.9999999999909051E-3"/>
    <s v="PEDRO LOPES"/>
    <n v="3251.49"/>
    <n v="260.11"/>
    <n v="0"/>
    <n v="0"/>
    <s v="PEDRO LOPES"/>
    <n v="3251.49"/>
    <n v="278.76"/>
    <n v="0"/>
    <n v="0"/>
  </r>
  <r>
    <s v="RAFAEL ELIAS BARBOSA"/>
    <x v="1"/>
    <s v="A"/>
    <s v="N"/>
    <n v="6120.73"/>
    <n v="0"/>
    <n v="0"/>
    <n v="0"/>
    <n v="0"/>
    <n v="489.66"/>
    <n v="0"/>
    <n v="0"/>
    <n v="0"/>
    <n v="0"/>
    <n v="6120.73"/>
    <n v="0"/>
    <n v="0"/>
    <n v="658.4"/>
    <n v="0"/>
    <n v="0"/>
    <n v="0"/>
    <n v="6120.73"/>
    <n v="0"/>
    <n v="429.73"/>
    <n v="0"/>
    <n v="0"/>
    <n v="227.56"/>
    <n v="1224.1500000000001"/>
    <n v="355"/>
    <n v="2465.11"/>
    <n v="0"/>
    <n v="1.0000000000047748E-2"/>
    <s v="RAFAEL ELIAS BARBOSA"/>
    <n v="6120.73"/>
    <n v="489.65"/>
    <n v="0"/>
    <n v="0"/>
    <s v="RAFAEL ELIAS BARBOSA"/>
    <n v="6120.73"/>
    <n v="658.4"/>
    <n v="0"/>
    <n v="0"/>
  </r>
  <r>
    <s v="RAFAEL PIMENTEL DA MATA"/>
    <x v="1"/>
    <s v="A"/>
    <s v="N"/>
    <n v="6970.32"/>
    <n v="0"/>
    <n v="0"/>
    <n v="0"/>
    <n v="0"/>
    <n v="557.63"/>
    <n v="0"/>
    <n v="0"/>
    <n v="0"/>
    <n v="0"/>
    <n v="6970.32"/>
    <n v="0"/>
    <n v="0"/>
    <n v="777.34"/>
    <n v="0"/>
    <n v="0"/>
    <n v="0"/>
    <n v="6970.32"/>
    <n v="0"/>
    <n v="743.78"/>
    <n v="0"/>
    <n v="0"/>
    <n v="259.14999999999998"/>
    <n v="1394.06"/>
    <n v="404.28"/>
    <n v="2834.83"/>
    <n v="0"/>
    <n v="9.9999999999909051E-3"/>
    <s v="RAFAEL PIMENTEL DA MATA"/>
    <n v="6970.32"/>
    <n v="557.62"/>
    <n v="0"/>
    <n v="0"/>
    <s v="RAFAEL PIMENTEL DA MATA"/>
    <n v="6970.32"/>
    <n v="777.34"/>
    <n v="0"/>
    <n v="0"/>
  </r>
  <r>
    <s v="RAMIRES MAX CAMPOS DE MORAES"/>
    <x v="1"/>
    <s v="A"/>
    <s v="N"/>
    <n v="2510.62"/>
    <n v="0"/>
    <n v="0"/>
    <n v="0"/>
    <n v="0"/>
    <n v="200.85"/>
    <n v="0"/>
    <n v="0"/>
    <n v="0"/>
    <n v="0"/>
    <n v="2510.62"/>
    <n v="0"/>
    <n v="0"/>
    <n v="201.63"/>
    <n v="0"/>
    <n v="0"/>
    <n v="0"/>
    <n v="2510.62"/>
    <n v="0"/>
    <n v="0"/>
    <n v="0"/>
    <n v="0"/>
    <n v="93.34"/>
    <n v="502.12"/>
    <n v="145.62"/>
    <n v="942.71"/>
    <n v="0"/>
    <n v="9.9999999999909051E-3"/>
    <s v="RAMIRES MAX CAMPOS DE MORAES"/>
    <n v="2510.62"/>
    <n v="200.84"/>
    <n v="0"/>
    <n v="0"/>
    <s v="RAMIRES MAX CAMPOS DE MORAES"/>
    <n v="2510.62"/>
    <n v="201.63"/>
    <n v="0"/>
    <n v="0"/>
  </r>
  <r>
    <s v="REBECA DA SILVA MARTINES"/>
    <x v="9"/>
    <s v="A"/>
    <s v="Z"/>
    <n v="266.67"/>
    <n v="0"/>
    <n v="0"/>
    <n v="0"/>
    <n v="0"/>
    <n v="5.33"/>
    <n v="0"/>
    <n v="0"/>
    <n v="0"/>
    <n v="0"/>
    <n v="266.67"/>
    <n v="0"/>
    <n v="0"/>
    <n v="20"/>
    <n v="0"/>
    <n v="0"/>
    <n v="0"/>
    <n v="266.67"/>
    <n v="0"/>
    <n v="0"/>
    <n v="0"/>
    <n v="0"/>
    <n v="9.91"/>
    <n v="53.33"/>
    <n v="15.47"/>
    <n v="98.72"/>
    <n v="0"/>
    <n v="0"/>
    <s v="REBECA DA SILVA MARTINES"/>
    <n v="266.67"/>
    <n v="5.33"/>
    <n v="0"/>
    <n v="0"/>
    <s v="REBECA DA SILVA MARTINES"/>
    <n v="266.67"/>
    <n v="20"/>
    <n v="0"/>
    <n v="0"/>
  </r>
  <r>
    <s v="REGINALDO CARVALHO SANTOS"/>
    <x v="13"/>
    <s v="D"/>
    <s v="N"/>
    <n v="0.81"/>
    <n v="0"/>
    <n v="0"/>
    <n v="157.07"/>
    <n v="0"/>
    <n v="0.06"/>
    <n v="0"/>
    <n v="0"/>
    <n v="12.57"/>
    <n v="0"/>
    <n v="0.81"/>
    <n v="157.07"/>
    <n v="0"/>
    <n v="0.06"/>
    <n v="11.78"/>
    <n v="0"/>
    <n v="0"/>
    <n v="0.81"/>
    <n v="0"/>
    <n v="0"/>
    <n v="0"/>
    <n v="0"/>
    <n v="5.87"/>
    <n v="31.58"/>
    <n v="9.16"/>
    <n v="58.44"/>
    <n v="157.88"/>
    <n v="12.63"/>
    <m/>
    <m/>
    <m/>
    <n v="0"/>
    <n v="0"/>
    <s v="REGINALDO CARVALHO SANTOS"/>
    <n v="0.81"/>
    <n v="0.06"/>
    <n v="157.07"/>
    <n v="11.78"/>
  </r>
  <r>
    <s v="RENAN EMILYANO DE SOUZA NAZARETH"/>
    <x v="1"/>
    <s v="A"/>
    <s v="N"/>
    <n v="3561.74"/>
    <n v="0"/>
    <n v="0"/>
    <n v="0"/>
    <n v="0"/>
    <n v="284.94"/>
    <n v="0"/>
    <n v="0"/>
    <n v="0"/>
    <n v="0"/>
    <n v="3561.74"/>
    <n v="0"/>
    <n v="0"/>
    <n v="315.99"/>
    <n v="0"/>
    <n v="0"/>
    <n v="0"/>
    <n v="3561.74"/>
    <n v="0"/>
    <n v="0"/>
    <n v="0"/>
    <n v="0"/>
    <n v="132.41999999999999"/>
    <n v="712.35"/>
    <n v="206.58"/>
    <n v="1367.34"/>
    <n v="0"/>
    <n v="9.9999999999909051E-3"/>
    <s v="RENAN EMILYANO DE SOUZA NAZARETH"/>
    <n v="3561.74"/>
    <n v="284.93"/>
    <n v="0"/>
    <n v="0"/>
    <s v="RENAN EMILYANO DE SOUZA NAZARETH"/>
    <n v="3561.74"/>
    <n v="315.99"/>
    <n v="0"/>
    <n v="0"/>
  </r>
  <r>
    <s v="RENAN GUILHERME BUENO DE SOUZA"/>
    <x v="1"/>
    <s v="A"/>
    <s v="N"/>
    <n v="3092.27"/>
    <n v="0"/>
    <n v="0"/>
    <n v="0"/>
    <n v="0"/>
    <n v="247.38"/>
    <n v="0"/>
    <n v="0"/>
    <n v="0"/>
    <n v="0"/>
    <n v="3092.27"/>
    <n v="0"/>
    <n v="0"/>
    <n v="259.66000000000003"/>
    <n v="0"/>
    <n v="0"/>
    <n v="0"/>
    <n v="3092.27"/>
    <n v="0"/>
    <n v="0"/>
    <n v="0"/>
    <n v="0"/>
    <n v="114.97"/>
    <n v="618.45000000000005"/>
    <n v="179.35"/>
    <n v="1172.43"/>
    <n v="0"/>
    <n v="0"/>
    <s v="RENAN GUILHERME BUENO DE SOUZA"/>
    <n v="3092.27"/>
    <n v="247.38"/>
    <n v="0"/>
    <n v="0"/>
    <s v="RENAN GUILHERME BUENO DE SOUZA"/>
    <n v="3092.27"/>
    <n v="259.66000000000003"/>
    <n v="0"/>
    <n v="0"/>
  </r>
  <r>
    <s v="RENATO JOSE DOS SANTOS"/>
    <x v="1"/>
    <s v="A"/>
    <s v="N"/>
    <n v="3856.12"/>
    <n v="0"/>
    <n v="0"/>
    <n v="0"/>
    <n v="0"/>
    <n v="308.49"/>
    <n v="0"/>
    <n v="0"/>
    <n v="0"/>
    <n v="0"/>
    <n v="3856.12"/>
    <n v="0"/>
    <n v="0"/>
    <n v="351.32"/>
    <n v="0"/>
    <n v="0"/>
    <n v="0"/>
    <n v="3856.12"/>
    <n v="0"/>
    <n v="0"/>
    <n v="0"/>
    <n v="0"/>
    <n v="143.37"/>
    <n v="771.22"/>
    <n v="223.65"/>
    <n v="1489.57"/>
    <n v="0"/>
    <n v="9.9999999999909051E-3"/>
    <s v="RENATO JOSE DOS SANTOS"/>
    <n v="3856.12"/>
    <n v="308.48"/>
    <n v="0"/>
    <n v="0"/>
    <s v="RENATO JOSE DOS SANTOS"/>
    <n v="3856.12"/>
    <n v="351.32"/>
    <n v="0"/>
    <n v="0"/>
  </r>
  <r>
    <s v="RENATO QUINTILIANO MARTINS"/>
    <x v="1"/>
    <s v="A"/>
    <s v="N"/>
    <n v="6542.81"/>
    <n v="0"/>
    <n v="0"/>
    <n v="0"/>
    <n v="0"/>
    <n v="523.41999999999996"/>
    <n v="0"/>
    <n v="0"/>
    <n v="0"/>
    <n v="0"/>
    <n v="6542.81"/>
    <n v="0"/>
    <n v="0"/>
    <n v="717.49"/>
    <n v="0"/>
    <n v="0"/>
    <n v="0"/>
    <n v="6542.81"/>
    <n v="0"/>
    <n v="585.75"/>
    <n v="0"/>
    <n v="0"/>
    <n v="243.26"/>
    <n v="1308.56"/>
    <n v="379.48"/>
    <n v="2648.79"/>
    <n v="0"/>
    <n v="0"/>
    <s v="RENATO QUINTILIANO MARTINS"/>
    <n v="6542.81"/>
    <n v="523.41999999999996"/>
    <n v="0"/>
    <n v="0"/>
    <s v="RENATO QUINTILIANO MARTINS"/>
    <n v="6542.81"/>
    <n v="717.49"/>
    <n v="0"/>
    <n v="0"/>
  </r>
  <r>
    <s v="RENATO RUSSO SILVA DE MORAES"/>
    <x v="1"/>
    <s v="A"/>
    <s v="N"/>
    <n v="6644.24"/>
    <n v="0"/>
    <n v="0"/>
    <n v="0"/>
    <n v="0"/>
    <n v="531.54"/>
    <n v="0"/>
    <n v="0"/>
    <n v="0"/>
    <n v="0"/>
    <n v="6644.24"/>
    <n v="0"/>
    <n v="0"/>
    <n v="731.69"/>
    <n v="0"/>
    <n v="0"/>
    <n v="0"/>
    <n v="6644.24"/>
    <n v="0"/>
    <n v="623.24"/>
    <n v="0"/>
    <n v="0"/>
    <n v="247.03"/>
    <n v="1328.85"/>
    <n v="385.37"/>
    <n v="2692.93"/>
    <n v="0"/>
    <n v="9.9999999999909051E-3"/>
    <s v="RENATO RUSSO SILVA DE MORAES"/>
    <n v="6644.24"/>
    <n v="531.53"/>
    <n v="0"/>
    <n v="0"/>
    <s v="RENATO RUSSO SILVA DE MORAES"/>
    <n v="6644.24"/>
    <n v="731.69"/>
    <n v="0"/>
    <n v="0"/>
  </r>
  <r>
    <s v="RITA DE CASSIA CRANCHI ORTEGA PAMPLONA"/>
    <x v="9"/>
    <s v="A"/>
    <s v="N"/>
    <n v="2563.2600000000002"/>
    <n v="0"/>
    <n v="0"/>
    <n v="0"/>
    <n v="0"/>
    <n v="205.06"/>
    <n v="0"/>
    <n v="0"/>
    <n v="0"/>
    <n v="0"/>
    <n v="2563.2600000000002"/>
    <n v="0"/>
    <n v="0"/>
    <n v="143.6"/>
    <n v="0"/>
    <n v="62.77"/>
    <n v="0"/>
    <n v="1726.27"/>
    <n v="0"/>
    <n v="0"/>
    <n v="0"/>
    <n v="0"/>
    <n v="95.3"/>
    <n v="512.65"/>
    <n v="148.66999999999999"/>
    <n v="962.99"/>
    <n v="0"/>
    <n v="0"/>
    <s v="RITA DE CASSIA CRANCHI ORTEGA PAMPLONA"/>
    <n v="2563.2600000000002"/>
    <n v="205.06"/>
    <n v="0"/>
    <n v="0"/>
    <s v="RITA DE CASSIA CRANCHI ORTEGA PAMPLONA"/>
    <n v="2563.2600000000002"/>
    <n v="206.37"/>
    <n v="0"/>
    <n v="0"/>
  </r>
  <r>
    <s v="ROBERTO CARLOS DE PAULA MOTA"/>
    <x v="7"/>
    <s v="A"/>
    <s v="N"/>
    <n v="2718.65"/>
    <n v="0"/>
    <n v="0"/>
    <n v="0"/>
    <n v="0"/>
    <n v="217.49"/>
    <n v="0"/>
    <n v="0"/>
    <n v="0"/>
    <n v="0"/>
    <n v="2718.65"/>
    <n v="0"/>
    <n v="0"/>
    <n v="220.35"/>
    <n v="0"/>
    <n v="0"/>
    <n v="0"/>
    <n v="2718.65"/>
    <n v="0"/>
    <n v="0"/>
    <n v="0"/>
    <n v="0"/>
    <n v="101.08"/>
    <n v="543.73"/>
    <n v="157.68"/>
    <n v="1022.84"/>
    <n v="0"/>
    <n v="0"/>
    <s v="ROBERTO CARLOS DE PAULA MOTA"/>
    <n v="2718.65"/>
    <n v="217.49"/>
    <n v="0"/>
    <n v="0"/>
    <s v="ROBERTO CARLOS DE PAULA MOTA"/>
    <n v="2718.65"/>
    <n v="220.35"/>
    <n v="0"/>
    <n v="0"/>
  </r>
  <r>
    <s v="RODRIGO DA SILVA BRANDAO"/>
    <x v="5"/>
    <s v="A"/>
    <s v="N"/>
    <n v="3567.91"/>
    <n v="0"/>
    <n v="0"/>
    <n v="0"/>
    <n v="0"/>
    <n v="285.43"/>
    <n v="0"/>
    <n v="0"/>
    <n v="0"/>
    <n v="0"/>
    <n v="3567.91"/>
    <n v="0"/>
    <n v="0"/>
    <n v="316.73"/>
    <n v="0"/>
    <n v="0"/>
    <n v="0"/>
    <n v="3567.91"/>
    <n v="0"/>
    <n v="0"/>
    <n v="0"/>
    <n v="0"/>
    <n v="132.65"/>
    <n v="713.58"/>
    <n v="206.94"/>
    <n v="1369.9"/>
    <n v="0"/>
    <n v="0"/>
    <s v="RODRIGO DA SILVA BRANDAO"/>
    <n v="3567.91"/>
    <n v="285.43"/>
    <n v="0"/>
    <n v="0"/>
    <s v="RODRIGO DA SILVA BRANDAO"/>
    <n v="3567.91"/>
    <n v="316.73"/>
    <n v="0"/>
    <n v="0"/>
  </r>
  <r>
    <s v="RODRIGO YEPES REIS"/>
    <x v="9"/>
    <s v="A"/>
    <s v="N"/>
    <n v="4903.7299999999996"/>
    <n v="0"/>
    <n v="0"/>
    <n v="0"/>
    <n v="0"/>
    <n v="392.3"/>
    <n v="0"/>
    <n v="0"/>
    <n v="0"/>
    <n v="0"/>
    <n v="4903.7299999999996"/>
    <n v="0"/>
    <n v="0"/>
    <n v="488.02"/>
    <n v="0"/>
    <n v="0"/>
    <n v="0"/>
    <n v="4903.7299999999996"/>
    <n v="0"/>
    <n v="0"/>
    <n v="0"/>
    <n v="0"/>
    <n v="182.32"/>
    <n v="980.75"/>
    <n v="284.42"/>
    <n v="1935.5"/>
    <n v="0"/>
    <n v="9.9999999999909051E-3"/>
    <s v="RODRIGO YEPES REIS"/>
    <n v="4903.7299999999996"/>
    <n v="392.29"/>
    <n v="0"/>
    <n v="0"/>
    <s v="RODRIGO YEPES REIS"/>
    <n v="4903.7299999999996"/>
    <n v="488.02"/>
    <n v="0"/>
    <n v="0"/>
  </r>
  <r>
    <s v="ROGERIO LEMES DA SILVA"/>
    <x v="1"/>
    <s v="A"/>
    <s v="N"/>
    <n v="3743.53"/>
    <n v="0"/>
    <n v="0"/>
    <n v="0"/>
    <n v="0"/>
    <n v="299.48"/>
    <n v="0"/>
    <n v="0"/>
    <n v="0"/>
    <n v="0"/>
    <n v="3743.53"/>
    <n v="0"/>
    <n v="0"/>
    <n v="337.81"/>
    <n v="0"/>
    <n v="0"/>
    <n v="0"/>
    <n v="3743.53"/>
    <n v="0"/>
    <n v="0"/>
    <n v="0"/>
    <n v="0"/>
    <n v="139.18"/>
    <n v="748.71"/>
    <n v="217.12"/>
    <n v="1442.82"/>
    <n v="0"/>
    <n v="0"/>
    <s v="ROGERIO LEMES DA SILVA"/>
    <n v="3743.53"/>
    <n v="299.48"/>
    <n v="0"/>
    <n v="0"/>
    <s v="ROGERIO LEMES DA SILVA"/>
    <n v="3743.53"/>
    <n v="337.81"/>
    <n v="0"/>
    <n v="0"/>
  </r>
  <r>
    <s v="ROMUALDO ADRIANO MARTINEZ PERES"/>
    <x v="6"/>
    <s v="D"/>
    <s v="N"/>
    <n v="70.180000000000007"/>
    <n v="4071.58"/>
    <n v="339.3"/>
    <n v="1017.89"/>
    <n v="0"/>
    <n v="5.61"/>
    <n v="325.73"/>
    <n v="27.14"/>
    <n v="81.430000000000007"/>
    <n v="0"/>
    <n v="70.180000000000007"/>
    <n v="1357.19"/>
    <n v="0"/>
    <n v="5.26"/>
    <n v="101.78"/>
    <n v="0"/>
    <n v="0"/>
    <n v="70.180000000000007"/>
    <n v="0"/>
    <n v="0"/>
    <n v="0"/>
    <n v="0"/>
    <n v="53.07"/>
    <n v="285.47000000000003"/>
    <n v="82.79"/>
    <n v="528.37"/>
    <n v="5498.9500000000007"/>
    <n v="439.91"/>
    <m/>
    <m/>
    <m/>
    <n v="0"/>
    <n v="0"/>
    <s v="ROMUALDO ADRIANO MARTINEZ PERES"/>
    <n v="70.180000000000007"/>
    <n v="5.26"/>
    <n v="1357.19"/>
    <n v="101.78"/>
  </r>
  <r>
    <s v="RONALDO BARBOSA DE SOUZA"/>
    <x v="1"/>
    <s v="A"/>
    <s v="N"/>
    <n v="7559.16"/>
    <n v="0"/>
    <n v="0"/>
    <n v="0"/>
    <n v="0"/>
    <n v="604.73"/>
    <n v="0"/>
    <n v="0"/>
    <n v="0"/>
    <n v="0"/>
    <n v="7559.16"/>
    <n v="0"/>
    <n v="0"/>
    <n v="859.78"/>
    <n v="0"/>
    <n v="0"/>
    <n v="0"/>
    <n v="7559.16"/>
    <n v="0"/>
    <n v="829.32"/>
    <n v="0"/>
    <n v="0"/>
    <n v="281.04000000000002"/>
    <n v="1511.83"/>
    <n v="438.43"/>
    <n v="3091.09"/>
    <n v="0"/>
    <n v="0"/>
    <s v="RONALDO BARBOSA DE SOUZA"/>
    <n v="7559.16"/>
    <n v="604.73"/>
    <n v="0"/>
    <n v="0"/>
    <s v="RONALDO BARBOSA DE SOUZA"/>
    <n v="7559.16"/>
    <n v="859.78"/>
    <n v="0"/>
    <n v="0"/>
  </r>
  <r>
    <s v="RONALDO LOPES RIBEIRO"/>
    <x v="1"/>
    <s v="A"/>
    <s v="N"/>
    <n v="5679.39"/>
    <n v="0"/>
    <n v="0"/>
    <n v="0"/>
    <n v="0"/>
    <n v="454.35"/>
    <n v="0"/>
    <n v="0"/>
    <n v="0"/>
    <n v="0"/>
    <n v="5679.39"/>
    <n v="0"/>
    <n v="0"/>
    <n v="596.61"/>
    <n v="0"/>
    <n v="0"/>
    <n v="0"/>
    <n v="5679.39"/>
    <n v="0"/>
    <n v="263.68"/>
    <n v="0"/>
    <n v="0"/>
    <n v="211.15"/>
    <n v="1135.8800000000001"/>
    <n v="329.4"/>
    <n v="2273.0500000000002"/>
    <n v="0"/>
    <n v="0"/>
    <s v="RONALDO LOPES RIBEIRO"/>
    <n v="5679.39"/>
    <n v="454.35"/>
    <n v="0"/>
    <n v="0"/>
    <s v="RONALDO LOPES RIBEIRO"/>
    <n v="5679.39"/>
    <n v="596.61"/>
    <n v="0"/>
    <n v="0"/>
  </r>
  <r>
    <s v="RONDINELE ALVES BEZERRA"/>
    <x v="1"/>
    <s v="A"/>
    <s v="N"/>
    <n v="4200.46"/>
    <n v="0"/>
    <n v="0"/>
    <n v="0"/>
    <n v="0"/>
    <n v="336.04"/>
    <n v="0"/>
    <n v="0"/>
    <n v="0"/>
    <n v="0"/>
    <n v="4200.46"/>
    <n v="0"/>
    <n v="0"/>
    <n v="392.64"/>
    <n v="0"/>
    <n v="0"/>
    <n v="0"/>
    <n v="4200.46"/>
    <n v="0"/>
    <n v="0"/>
    <n v="0"/>
    <n v="0"/>
    <n v="156.16999999999999"/>
    <n v="840.09"/>
    <n v="243.63"/>
    <n v="1632.53"/>
    <n v="0"/>
    <n v="1.0000000000047748E-2"/>
    <s v="RONDINELE ALVES BEZERRA"/>
    <n v="4200.46"/>
    <n v="336.03"/>
    <n v="0"/>
    <n v="0"/>
    <s v="RONDINELE ALVES BEZERRA"/>
    <n v="4200.46"/>
    <n v="392.64"/>
    <n v="0"/>
    <n v="0"/>
  </r>
  <r>
    <s v="RONILSO DESIDERIO PERES"/>
    <x v="1"/>
    <s v="A"/>
    <s v="N"/>
    <n v="5287.44"/>
    <n v="0"/>
    <n v="0"/>
    <n v="0"/>
    <n v="0"/>
    <n v="423"/>
    <n v="0"/>
    <n v="0"/>
    <n v="0"/>
    <n v="0"/>
    <n v="5287.44"/>
    <n v="0"/>
    <n v="0"/>
    <n v="541.74"/>
    <n v="0"/>
    <n v="0"/>
    <n v="0"/>
    <n v="5287.44"/>
    <n v="0"/>
    <n v="103.71"/>
    <n v="0"/>
    <n v="0"/>
    <n v="196.58"/>
    <n v="1057.49"/>
    <n v="306.67"/>
    <n v="2102.48"/>
    <n v="0"/>
    <n v="9.9999999999909051E-3"/>
    <s v="RONILSO DESIDERIO PERES"/>
    <n v="5287.44"/>
    <n v="422.99"/>
    <n v="0"/>
    <n v="0"/>
    <s v="RONILSO DESIDERIO PERES"/>
    <n v="5287.44"/>
    <n v="541.74"/>
    <n v="0"/>
    <n v="0"/>
  </r>
  <r>
    <s v="ROSANA MARIA DA SILVA"/>
    <x v="1"/>
    <s v="A"/>
    <s v="N"/>
    <n v="2517.6"/>
    <n v="0"/>
    <n v="0"/>
    <n v="0"/>
    <n v="0"/>
    <n v="201.41"/>
    <n v="0"/>
    <n v="0"/>
    <n v="0"/>
    <n v="0"/>
    <n v="2517.6"/>
    <n v="0"/>
    <n v="0"/>
    <n v="202.26"/>
    <n v="0"/>
    <n v="0"/>
    <n v="0"/>
    <n v="2517.6"/>
    <n v="0"/>
    <n v="0"/>
    <n v="0"/>
    <n v="0"/>
    <n v="93.6"/>
    <n v="503.52"/>
    <n v="146.02000000000001"/>
    <n v="945.4"/>
    <n v="0"/>
    <n v="9.9999999999909051E-3"/>
    <s v="ROSANA MARIA DA SILVA"/>
    <n v="2517.6"/>
    <n v="201.4"/>
    <n v="0"/>
    <n v="0"/>
    <s v="ROSANA MARIA DA SILVA"/>
    <n v="2517.6"/>
    <n v="202.26"/>
    <n v="0"/>
    <n v="0"/>
  </r>
  <r>
    <s v="ROSEMAR SILVA DE OLIVEIRA"/>
    <x v="1"/>
    <s v="A"/>
    <s v="N"/>
    <n v="6669.78"/>
    <n v="0"/>
    <n v="0"/>
    <n v="0"/>
    <n v="0"/>
    <n v="533.58000000000004"/>
    <n v="0"/>
    <n v="0"/>
    <n v="0"/>
    <n v="0"/>
    <n v="6669.78"/>
    <n v="0"/>
    <n v="0"/>
    <n v="735.27"/>
    <n v="0"/>
    <n v="0"/>
    <n v="0"/>
    <n v="6669.78"/>
    <n v="0"/>
    <n v="632.67999999999995"/>
    <n v="0"/>
    <n v="0"/>
    <n v="247.98"/>
    <n v="1333.96"/>
    <n v="386.85"/>
    <n v="2704.05"/>
    <n v="0"/>
    <n v="0"/>
    <s v="ROSEMAR SILVA DE OLIVEIRA"/>
    <n v="6669.78"/>
    <n v="533.58000000000004"/>
    <n v="0"/>
    <n v="0"/>
    <s v="ROSEMAR SILVA DE OLIVEIRA"/>
    <n v="6669.78"/>
    <n v="735.27"/>
    <n v="0"/>
    <n v="0"/>
  </r>
  <r>
    <s v="SAMUEL MACHADO COSTA"/>
    <x v="1"/>
    <s v="A"/>
    <s v="N"/>
    <n v="2652.44"/>
    <n v="0"/>
    <n v="0"/>
    <n v="0"/>
    <n v="0"/>
    <n v="212.2"/>
    <n v="0"/>
    <n v="0"/>
    <n v="0"/>
    <n v="0"/>
    <n v="2652.44"/>
    <n v="0"/>
    <n v="0"/>
    <n v="214.39"/>
    <n v="0"/>
    <n v="0"/>
    <n v="0"/>
    <n v="2652.44"/>
    <n v="0"/>
    <n v="0"/>
    <n v="0"/>
    <n v="0"/>
    <n v="98.62"/>
    <n v="530.49"/>
    <n v="153.84"/>
    <n v="997.33"/>
    <n v="0"/>
    <n v="9.9999999999909051E-3"/>
    <s v="SAMUEL MACHADO COSTA"/>
    <n v="2652.44"/>
    <n v="212.19"/>
    <n v="0"/>
    <n v="0"/>
    <s v="SAMUEL MACHADO COSTA"/>
    <n v="2652.44"/>
    <n v="214.39"/>
    <n v="0"/>
    <n v="0"/>
  </r>
  <r>
    <s v="SANDRA LOPES"/>
    <x v="12"/>
    <s v="A"/>
    <s v="N"/>
    <n v="2370.1"/>
    <n v="0"/>
    <n v="0"/>
    <n v="0"/>
    <n v="0"/>
    <n v="189.61"/>
    <n v="0"/>
    <n v="0"/>
    <n v="0"/>
    <n v="0"/>
    <n v="2370.1"/>
    <n v="0"/>
    <n v="0"/>
    <n v="188.98"/>
    <n v="0"/>
    <n v="0"/>
    <n v="0"/>
    <n v="2370.1"/>
    <n v="0"/>
    <n v="0"/>
    <n v="0"/>
    <n v="0"/>
    <n v="88.12"/>
    <n v="474.02"/>
    <n v="137.47"/>
    <n v="888.58"/>
    <n v="0"/>
    <n v="1.0000000000019327E-2"/>
    <s v="SANDRA LOPES"/>
    <n v="2370.1"/>
    <n v="189.6"/>
    <n v="0"/>
    <n v="0"/>
    <s v="SANDRA LOPES"/>
    <n v="2370.1"/>
    <n v="188.98"/>
    <n v="0"/>
    <n v="0"/>
  </r>
  <r>
    <s v="SERGIO BENEDITO DOS SANTOS"/>
    <x v="11"/>
    <s v="A"/>
    <s v="N"/>
    <n v="2907.74"/>
    <n v="0"/>
    <n v="0"/>
    <n v="0"/>
    <n v="0"/>
    <n v="232.62"/>
    <n v="0"/>
    <n v="0"/>
    <n v="0"/>
    <n v="0"/>
    <n v="2907.74"/>
    <n v="0"/>
    <n v="0"/>
    <n v="237.51"/>
    <n v="0"/>
    <n v="0"/>
    <n v="0"/>
    <n v="2907.74"/>
    <n v="0"/>
    <n v="0"/>
    <n v="0"/>
    <n v="0"/>
    <n v="108.11"/>
    <n v="581.54999999999995"/>
    <n v="168.65"/>
    <n v="1095.81"/>
    <n v="0"/>
    <n v="9.9999999999909051E-3"/>
    <s v="SERGIO BENEDITO DOS SANTOS"/>
    <n v="2907.74"/>
    <n v="232.61"/>
    <n v="0"/>
    <n v="0"/>
    <s v="SERGIO BENEDITO DOS SANTOS"/>
    <n v="2907.74"/>
    <n v="237.51"/>
    <n v="0"/>
    <n v="0"/>
  </r>
  <r>
    <s v="SERGIO FERMINO DE OLIVEIRA"/>
    <x v="5"/>
    <s v="A"/>
    <s v="N"/>
    <n v="2401.6"/>
    <n v="0"/>
    <n v="0"/>
    <n v="0"/>
    <n v="0"/>
    <n v="192.13"/>
    <n v="0"/>
    <n v="0"/>
    <n v="0"/>
    <n v="0"/>
    <n v="2401.6"/>
    <n v="0"/>
    <n v="0"/>
    <n v="191.82"/>
    <n v="0"/>
    <n v="0"/>
    <n v="0"/>
    <n v="2401.6"/>
    <n v="0"/>
    <n v="0"/>
    <n v="0"/>
    <n v="0"/>
    <n v="89.29"/>
    <n v="480.32"/>
    <n v="139.29"/>
    <n v="900.72"/>
    <n v="0"/>
    <n v="9.9999999999909051E-3"/>
    <s v="SERGIO FERMINO DE OLIVEIRA"/>
    <n v="2401.6"/>
    <n v="192.12"/>
    <n v="0"/>
    <n v="0"/>
    <s v="SERGIO FERMINO DE OLIVEIRA"/>
    <n v="2401.6"/>
    <n v="191.82"/>
    <n v="0"/>
    <n v="0"/>
  </r>
  <r>
    <s v="SEVERINO JOSE DA SILVA"/>
    <x v="1"/>
    <s v="A"/>
    <s v="N"/>
    <n v="3567.63"/>
    <n v="0"/>
    <n v="0"/>
    <n v="0"/>
    <n v="0"/>
    <n v="285.41000000000003"/>
    <n v="0"/>
    <n v="0"/>
    <n v="0"/>
    <n v="0"/>
    <n v="3567.63"/>
    <n v="0"/>
    <n v="0"/>
    <n v="316.7"/>
    <n v="0"/>
    <n v="0"/>
    <n v="0"/>
    <n v="3567.63"/>
    <n v="0"/>
    <n v="0"/>
    <n v="0"/>
    <n v="0"/>
    <n v="132.63999999999999"/>
    <n v="713.53"/>
    <n v="206.92"/>
    <n v="1369.79"/>
    <n v="0"/>
    <n v="0"/>
    <s v="SEVERINO JOSE DA SILVA"/>
    <n v="3567.63"/>
    <n v="285.41000000000003"/>
    <n v="0"/>
    <n v="0"/>
    <s v="SEVERINO JOSE DA SILVA"/>
    <n v="3567.63"/>
    <n v="316.7"/>
    <n v="0"/>
    <n v="0"/>
  </r>
  <r>
    <s v="SEVERINO JOSE DOS SANTOS"/>
    <x v="1"/>
    <s v="A"/>
    <s v="N"/>
    <n v="3454.68"/>
    <n v="0"/>
    <n v="0"/>
    <n v="0"/>
    <n v="0"/>
    <n v="276.37"/>
    <n v="0"/>
    <n v="0"/>
    <n v="0"/>
    <n v="0"/>
    <n v="3454.68"/>
    <n v="0"/>
    <n v="0"/>
    <n v="303.14999999999998"/>
    <n v="0"/>
    <n v="0"/>
    <n v="0"/>
    <n v="3454.68"/>
    <n v="0"/>
    <n v="0"/>
    <n v="0"/>
    <n v="0"/>
    <n v="128.44"/>
    <n v="690.94"/>
    <n v="200.37"/>
    <n v="1322.9"/>
    <n v="0"/>
    <n v="0"/>
    <s v="SEVERINO JOSE DOS SANTOS"/>
    <n v="3454.68"/>
    <n v="276.37"/>
    <n v="0"/>
    <n v="0"/>
    <s v="SEVERINO JOSE DOS SANTOS"/>
    <n v="3454.68"/>
    <n v="303.14999999999998"/>
    <n v="0"/>
    <n v="0"/>
  </r>
  <r>
    <s v="SIDINEI OVIEDO VIEIRA"/>
    <x v="1"/>
    <s v="A"/>
    <s v="N"/>
    <n v="3711.16"/>
    <n v="0"/>
    <n v="0"/>
    <n v="0"/>
    <n v="0"/>
    <n v="296.89"/>
    <n v="0"/>
    <n v="0"/>
    <n v="0"/>
    <n v="0"/>
    <n v="3711.16"/>
    <n v="0"/>
    <n v="0"/>
    <n v="333.92"/>
    <n v="0"/>
    <n v="0"/>
    <n v="0"/>
    <n v="3711.16"/>
    <n v="0"/>
    <n v="0"/>
    <n v="0"/>
    <n v="0"/>
    <n v="137.97999999999999"/>
    <n v="742.23"/>
    <n v="215.25"/>
    <n v="1429.38"/>
    <n v="0"/>
    <n v="0"/>
    <s v="SIDINEI OVIEDO VIEIRA"/>
    <n v="3711.16"/>
    <n v="296.89"/>
    <n v="0"/>
    <n v="0"/>
    <s v="SIDINEI OVIEDO VIEIRA"/>
    <n v="3711.16"/>
    <n v="333.92"/>
    <n v="0"/>
    <n v="0"/>
  </r>
  <r>
    <s v="TAILSON ARRUDA DA SILVA"/>
    <x v="1"/>
    <s v="A"/>
    <s v="N"/>
    <n v="2058.27"/>
    <n v="0"/>
    <n v="0"/>
    <n v="0"/>
    <n v="0"/>
    <n v="164.66"/>
    <n v="0"/>
    <n v="0"/>
    <n v="0"/>
    <n v="0"/>
    <n v="2058.27"/>
    <n v="0"/>
    <n v="0"/>
    <n v="160.91999999999999"/>
    <n v="0"/>
    <n v="0"/>
    <n v="0"/>
    <n v="2058.27"/>
    <n v="0"/>
    <n v="0"/>
    <n v="0"/>
    <n v="0"/>
    <n v="76.52"/>
    <n v="411.65"/>
    <n v="119.38"/>
    <n v="768.48"/>
    <n v="0"/>
    <n v="0"/>
    <s v="TAILSON ARRUDA DA SILVA"/>
    <n v="2058.27"/>
    <n v="164.66"/>
    <n v="0"/>
    <n v="0"/>
    <s v="TAILSON ARRUDA DA SILVA"/>
    <n v="2058.27"/>
    <n v="160.91999999999999"/>
    <n v="0"/>
    <n v="0"/>
  </r>
  <r>
    <s v="TAINAN ORLANDO MORAIS"/>
    <x v="1"/>
    <s v="A"/>
    <s v="N"/>
    <n v="3035.54"/>
    <n v="0"/>
    <n v="0"/>
    <n v="0"/>
    <n v="0"/>
    <n v="242.84"/>
    <n v="0"/>
    <n v="0"/>
    <n v="0"/>
    <n v="0"/>
    <n v="3035.54"/>
    <n v="0"/>
    <n v="0"/>
    <n v="252.85"/>
    <n v="0"/>
    <n v="0"/>
    <n v="0"/>
    <n v="3035.54"/>
    <n v="0"/>
    <n v="0"/>
    <n v="0"/>
    <n v="0"/>
    <n v="112.86"/>
    <n v="607.11"/>
    <n v="176.06"/>
    <n v="1148.8800000000001"/>
    <n v="0"/>
    <n v="0"/>
    <s v="TAINAN ORLANDO MORAIS"/>
    <n v="3035.54"/>
    <n v="242.84"/>
    <n v="0"/>
    <n v="0"/>
    <s v="TAINAN ORLANDO MORAIS"/>
    <n v="3035.54"/>
    <n v="252.85"/>
    <n v="0"/>
    <n v="0"/>
  </r>
  <r>
    <s v="TAMER DE SOUZA JUSTI"/>
    <x v="9"/>
    <s v="A"/>
    <s v="N"/>
    <n v="3715.3"/>
    <n v="0"/>
    <n v="0"/>
    <n v="0"/>
    <n v="0"/>
    <n v="297.22000000000003"/>
    <n v="0"/>
    <n v="0"/>
    <n v="0"/>
    <n v="0"/>
    <n v="3715.3"/>
    <n v="0"/>
    <n v="0"/>
    <n v="222.97"/>
    <n v="0"/>
    <n v="111.45"/>
    <n v="0"/>
    <n v="2229.1799999999998"/>
    <n v="1486.12"/>
    <n v="0"/>
    <n v="0"/>
    <n v="0"/>
    <n v="138.13"/>
    <n v="743.06"/>
    <n v="215.49"/>
    <n v="1431.1"/>
    <n v="0"/>
    <n v="0"/>
    <s v="TAMER DE SOUZA JUSTI"/>
    <n v="3715.3"/>
    <n v="297.22000000000003"/>
    <n v="0"/>
    <n v="0"/>
    <s v="TAMER DE SOUZA JUSTI"/>
    <n v="3715.3"/>
    <n v="334.42"/>
    <n v="0"/>
    <n v="0"/>
  </r>
  <r>
    <s v="TANIEL JESUS DA SILVA"/>
    <x v="1"/>
    <s v="A"/>
    <s v="N"/>
    <n v="3744.4"/>
    <n v="0"/>
    <n v="0"/>
    <n v="0"/>
    <n v="0"/>
    <n v="299.55"/>
    <n v="0"/>
    <n v="0"/>
    <n v="0"/>
    <n v="0"/>
    <n v="3744.4"/>
    <n v="0"/>
    <n v="0"/>
    <n v="337.91"/>
    <n v="0"/>
    <n v="0"/>
    <n v="0"/>
    <n v="3744.4"/>
    <n v="0"/>
    <n v="0"/>
    <n v="0"/>
    <n v="0"/>
    <n v="139.21"/>
    <n v="748.88"/>
    <n v="217.18"/>
    <n v="1443.18"/>
    <n v="0"/>
    <n v="0"/>
    <s v="TANIEL JESUS DA SILVA"/>
    <n v="3744.4"/>
    <n v="299.55"/>
    <n v="0"/>
    <n v="0"/>
    <s v="TANIEL JESUS DA SILVA"/>
    <n v="3744.4"/>
    <n v="337.91"/>
    <n v="0"/>
    <n v="0"/>
  </r>
  <r>
    <s v="THIAGO DA SILVA ARAUJO"/>
    <x v="1"/>
    <s v="A"/>
    <s v="N"/>
    <n v="7264.1"/>
    <n v="0"/>
    <n v="0"/>
    <n v="0"/>
    <n v="0"/>
    <n v="581.13"/>
    <n v="0"/>
    <n v="0"/>
    <n v="0"/>
    <n v="0"/>
    <n v="7264.1"/>
    <n v="0"/>
    <n v="0"/>
    <n v="818.47"/>
    <n v="0"/>
    <n v="0"/>
    <n v="0"/>
    <n v="7264.1"/>
    <n v="0"/>
    <n v="852.37"/>
    <n v="0"/>
    <n v="0"/>
    <n v="270.07"/>
    <n v="1452.82"/>
    <n v="421.32"/>
    <n v="2962.68"/>
    <n v="0"/>
    <n v="9.9999999999909051E-3"/>
    <s v="THIAGO DA SILVA ARAUJO"/>
    <n v="7264.1"/>
    <n v="581.12"/>
    <n v="0"/>
    <n v="0"/>
    <s v="THIAGO DA SILVA ARAUJO"/>
    <n v="7264.1"/>
    <n v="818.47"/>
    <n v="0"/>
    <n v="0"/>
  </r>
  <r>
    <s v="VALDECI DO NASCIMENTO SILVA"/>
    <x v="1"/>
    <s v="A"/>
    <s v="N"/>
    <n v="4164.09"/>
    <n v="0"/>
    <n v="0"/>
    <n v="0"/>
    <n v="0"/>
    <n v="333.13"/>
    <n v="0"/>
    <n v="0"/>
    <n v="0"/>
    <n v="0"/>
    <n v="4164.09"/>
    <n v="0"/>
    <n v="0"/>
    <n v="388.28"/>
    <n v="0"/>
    <n v="0"/>
    <n v="0"/>
    <n v="4164.09"/>
    <n v="0"/>
    <n v="0"/>
    <n v="0"/>
    <n v="0"/>
    <n v="154.82"/>
    <n v="832.82"/>
    <n v="241.52"/>
    <n v="1617.43"/>
    <n v="0"/>
    <n v="9.9999999999909051E-3"/>
    <s v="VALDECI DO NASCIMENTO SILVA"/>
    <n v="4164.09"/>
    <n v="333.12"/>
    <n v="0"/>
    <n v="0"/>
    <s v="VALDECI DO NASCIMENTO SILVA"/>
    <n v="4164.09"/>
    <n v="388.28"/>
    <n v="0"/>
    <n v="0"/>
  </r>
  <r>
    <s v="VALDIBERTO DE JESUS FLOR"/>
    <x v="13"/>
    <s v="A"/>
    <s v="N"/>
    <n v="1752.36"/>
    <n v="0"/>
    <n v="0"/>
    <n v="0"/>
    <n v="0"/>
    <n v="140.19"/>
    <n v="0"/>
    <n v="0"/>
    <n v="0"/>
    <n v="0"/>
    <n v="1752.36"/>
    <n v="0"/>
    <n v="0"/>
    <n v="133.38999999999999"/>
    <n v="0"/>
    <n v="0"/>
    <n v="0"/>
    <n v="1752.36"/>
    <n v="0"/>
    <n v="0"/>
    <n v="0"/>
    <n v="0"/>
    <n v="65.150000000000006"/>
    <n v="350.47"/>
    <n v="101.64"/>
    <n v="650.65"/>
    <n v="0"/>
    <n v="9.9999999999909051E-3"/>
    <s v="VALDIBERTO DE JESUS FLOR"/>
    <n v="1752.36"/>
    <n v="140.18"/>
    <n v="0"/>
    <n v="0"/>
    <s v="VALDIBERTO DE JESUS FLOR"/>
    <n v="1752.36"/>
    <n v="133.38999999999999"/>
    <n v="0"/>
    <n v="0"/>
  </r>
  <r>
    <s v="VALMIR DIAS DE SOUZA"/>
    <x v="10"/>
    <s v="A"/>
    <s v="N"/>
    <n v="5783.25"/>
    <n v="0"/>
    <n v="0"/>
    <n v="0"/>
    <n v="0"/>
    <n v="462.66"/>
    <n v="0"/>
    <n v="0"/>
    <n v="0"/>
    <n v="0"/>
    <n v="5783.25"/>
    <n v="0"/>
    <n v="0"/>
    <n v="611.15"/>
    <n v="0"/>
    <n v="0"/>
    <n v="0"/>
    <n v="5783.25"/>
    <n v="0"/>
    <n v="200.71"/>
    <n v="0"/>
    <n v="0"/>
    <n v="215.02"/>
    <n v="1156.6500000000001"/>
    <n v="335.43"/>
    <n v="2318.2399999999998"/>
    <n v="0"/>
    <n v="0"/>
    <s v="VALMIR DIAS DE SOUZA"/>
    <n v="5783.25"/>
    <n v="462.66"/>
    <n v="0"/>
    <n v="0"/>
    <s v="VALMIR DIAS DE SOUZA"/>
    <n v="5783.25"/>
    <n v="611.15"/>
    <n v="0"/>
    <n v="0"/>
  </r>
  <r>
    <s v="VALTER REZENDE DA SILVA"/>
    <x v="1"/>
    <s v="A"/>
    <s v="N"/>
    <n v="799.32"/>
    <n v="0"/>
    <n v="0"/>
    <n v="0"/>
    <n v="0"/>
    <n v="63.95"/>
    <n v="0"/>
    <n v="0"/>
    <n v="0"/>
    <n v="0"/>
    <n v="799.32"/>
    <n v="0"/>
    <n v="0"/>
    <n v="59.94"/>
    <n v="0"/>
    <n v="0"/>
    <n v="0"/>
    <n v="799.32"/>
    <n v="0"/>
    <n v="0"/>
    <n v="0"/>
    <n v="0"/>
    <n v="29.72"/>
    <n v="159.86000000000001"/>
    <n v="46.36"/>
    <n v="295.88"/>
    <n v="0"/>
    <n v="1.0000000000005116E-2"/>
    <s v="VALTER REZENDE DA SILVA"/>
    <n v="799.32"/>
    <n v="63.94"/>
    <n v="0"/>
    <n v="0"/>
    <s v="VALTER REZENDE DA SILVA"/>
    <n v="799.32"/>
    <n v="59.94"/>
    <n v="0"/>
    <n v="0"/>
  </r>
  <r>
    <s v="VANDEVALDO PEREIRA"/>
    <x v="5"/>
    <s v="A"/>
    <s v="N"/>
    <n v="3432.13"/>
    <n v="0"/>
    <n v="0"/>
    <n v="0"/>
    <n v="0"/>
    <n v="274.57"/>
    <n v="0"/>
    <n v="0"/>
    <n v="0"/>
    <n v="0"/>
    <n v="3432.13"/>
    <n v="0"/>
    <n v="0"/>
    <n v="300.44"/>
    <n v="0"/>
    <n v="0"/>
    <n v="0"/>
    <n v="3432.13"/>
    <n v="0"/>
    <n v="0"/>
    <n v="0"/>
    <n v="0"/>
    <n v="127.6"/>
    <n v="686.43"/>
    <n v="199.06"/>
    <n v="1313.53"/>
    <n v="0"/>
    <n v="0"/>
    <s v="VANDEVALDO PEREIRA"/>
    <n v="3432.13"/>
    <n v="274.57"/>
    <n v="0"/>
    <n v="0"/>
    <s v="VANDEVALDO PEREIRA"/>
    <n v="3432.13"/>
    <n v="300.44"/>
    <n v="0"/>
    <n v="0"/>
  </r>
  <r>
    <s v="VANIA MARIA MENDES DE MACEDO"/>
    <x v="1"/>
    <s v="A"/>
    <s v="N"/>
    <n v="3030.5"/>
    <n v="0"/>
    <n v="0"/>
    <n v="0"/>
    <n v="0"/>
    <n v="242.44"/>
    <n v="0"/>
    <n v="0"/>
    <n v="0"/>
    <n v="0"/>
    <n v="3030.5"/>
    <n v="0"/>
    <n v="0"/>
    <n v="252.24"/>
    <n v="0"/>
    <n v="0"/>
    <n v="0"/>
    <n v="3030.5"/>
    <n v="0"/>
    <n v="0"/>
    <n v="0"/>
    <n v="0"/>
    <n v="112.67"/>
    <n v="606.1"/>
    <n v="175.77"/>
    <n v="1146.78"/>
    <n v="0"/>
    <n v="0"/>
    <s v="VANIA MARIA MENDES DE MACEDO"/>
    <n v="3030.5"/>
    <n v="242.44"/>
    <n v="0"/>
    <n v="0"/>
    <s v="VANIA MARIA MENDES DE MACEDO"/>
    <n v="3030.5"/>
    <n v="252.24"/>
    <n v="0"/>
    <n v="0"/>
  </r>
  <r>
    <s v="VICTOR HUGO CAMPOS MONGE"/>
    <x v="1"/>
    <s v="A"/>
    <s v="N"/>
    <n v="2920.46"/>
    <n v="0"/>
    <n v="0"/>
    <n v="0"/>
    <n v="0"/>
    <n v="233.64"/>
    <n v="0"/>
    <n v="0"/>
    <n v="0"/>
    <n v="0"/>
    <n v="2920.46"/>
    <n v="0"/>
    <n v="0"/>
    <n v="239.04"/>
    <n v="0"/>
    <n v="0"/>
    <n v="0"/>
    <n v="2920.46"/>
    <n v="0"/>
    <n v="0"/>
    <n v="0"/>
    <n v="0"/>
    <n v="108.58"/>
    <n v="584.09"/>
    <n v="169.39"/>
    <n v="1101.0999999999999"/>
    <n v="0"/>
    <n v="9.9999999999909051E-3"/>
    <s v="VICTOR HUGO CAMPOS MONGE"/>
    <n v="2920.46"/>
    <n v="233.63"/>
    <n v="0"/>
    <n v="0"/>
    <s v="VICTOR HUGO CAMPOS MONGE"/>
    <n v="2920.46"/>
    <n v="239.04"/>
    <n v="0"/>
    <n v="0"/>
  </r>
  <r>
    <s v="VICTOR HUGO SOUZA SALES"/>
    <x v="12"/>
    <s v="A"/>
    <s v="N"/>
    <n v="2500"/>
    <n v="0"/>
    <n v="0"/>
    <n v="0"/>
    <n v="0"/>
    <n v="200"/>
    <n v="0"/>
    <n v="0"/>
    <n v="0"/>
    <n v="0"/>
    <n v="2500"/>
    <n v="0"/>
    <n v="0"/>
    <n v="200.68"/>
    <n v="0"/>
    <n v="0"/>
    <n v="0"/>
    <n v="2500"/>
    <n v="0"/>
    <n v="0"/>
    <n v="0"/>
    <n v="0"/>
    <n v="92.95"/>
    <n v="500"/>
    <n v="145"/>
    <n v="938.63"/>
    <n v="0"/>
    <n v="0"/>
    <s v="VICTOR HUGO SOUZA SALES"/>
    <n v="2500"/>
    <n v="200"/>
    <n v="0"/>
    <n v="0"/>
    <s v="VICTOR HUGO SOUZA SALES"/>
    <n v="2500"/>
    <n v="200.68"/>
    <n v="0"/>
    <n v="0"/>
  </r>
  <r>
    <s v="VICTOR HUGOR DA SILVA VENANCIO"/>
    <x v="1"/>
    <s v="A"/>
    <s v="N"/>
    <n v="3224.72"/>
    <n v="0"/>
    <n v="0"/>
    <n v="0"/>
    <n v="0"/>
    <n v="257.98"/>
    <n v="0"/>
    <n v="0"/>
    <n v="0"/>
    <n v="0"/>
    <n v="3224.72"/>
    <n v="0"/>
    <n v="0"/>
    <n v="275.55"/>
    <n v="0"/>
    <n v="0"/>
    <n v="0"/>
    <n v="3224.72"/>
    <n v="0"/>
    <n v="0"/>
    <n v="0"/>
    <n v="0"/>
    <n v="119.89"/>
    <n v="644.94000000000005"/>
    <n v="187.03"/>
    <n v="1227.42"/>
    <n v="0"/>
    <n v="9.9999999999909051E-3"/>
    <s v="VICTOR HUGOR DA SILVA VENANCIO"/>
    <n v="3224.72"/>
    <n v="257.97000000000003"/>
    <n v="0"/>
    <n v="0"/>
    <s v="VICTOR HUGOR DA SILVA VENANCIO"/>
    <n v="3224.72"/>
    <n v="275.55"/>
    <n v="0"/>
    <n v="0"/>
  </r>
  <r>
    <s v="VITOR CARLOS TAVARES"/>
    <x v="1"/>
    <s v="D"/>
    <s v="N"/>
    <n v="497.93"/>
    <n v="2960.58"/>
    <n v="254.84"/>
    <n v="1783.87"/>
    <n v="0"/>
    <n v="39.83"/>
    <n v="236.85"/>
    <n v="20.39"/>
    <n v="142.71"/>
    <n v="0"/>
    <n v="497.93"/>
    <n v="2038.71"/>
    <n v="0"/>
    <n v="37.340000000000003"/>
    <n v="159.16"/>
    <n v="0"/>
    <n v="0"/>
    <n v="497.93"/>
    <n v="0"/>
    <n v="0"/>
    <n v="0"/>
    <n v="0"/>
    <n v="94.31"/>
    <n v="507.33"/>
    <n v="147.13"/>
    <n v="945.26"/>
    <n v="5497.2199999999993"/>
    <n v="439.78"/>
    <m/>
    <m/>
    <m/>
    <n v="0"/>
    <n v="0"/>
    <s v="VITOR CARLOS TAVARES"/>
    <n v="497.93"/>
    <n v="37.340000000000003"/>
    <n v="2038.71"/>
    <n v="159.16"/>
  </r>
  <r>
    <s v="WALLAF BRUNO LIMA DA SILVA"/>
    <x v="1"/>
    <s v="A"/>
    <s v="N"/>
    <n v="3496.94"/>
    <n v="0"/>
    <n v="0"/>
    <n v="0"/>
    <n v="0"/>
    <n v="279.76"/>
    <n v="0"/>
    <n v="0"/>
    <n v="0"/>
    <n v="0"/>
    <n v="3496.94"/>
    <n v="0"/>
    <n v="0"/>
    <n v="308.22000000000003"/>
    <n v="0"/>
    <n v="0"/>
    <n v="0"/>
    <n v="3496.94"/>
    <n v="0"/>
    <n v="0"/>
    <n v="0"/>
    <n v="0"/>
    <n v="130.01"/>
    <n v="699.39"/>
    <n v="202.82"/>
    <n v="1340.44"/>
    <n v="0"/>
    <n v="9.9999999999909051E-3"/>
    <s v="WALLAF BRUNO LIMA DA SILVA"/>
    <n v="3496.94"/>
    <n v="279.75"/>
    <n v="0"/>
    <n v="0"/>
    <s v="WALLAF BRUNO LIMA DA SILVA"/>
    <n v="3496.94"/>
    <n v="308.22000000000003"/>
    <n v="0"/>
    <n v="0"/>
  </r>
  <r>
    <s v="WALTER LUIS MAGALHAES OLIVEIRA"/>
    <x v="13"/>
    <s v="A"/>
    <s v="N"/>
    <n v="3053.22"/>
    <n v="0"/>
    <n v="0"/>
    <n v="0"/>
    <n v="0"/>
    <n v="244.26"/>
    <n v="0"/>
    <n v="0"/>
    <n v="0"/>
    <n v="0"/>
    <n v="3053.22"/>
    <n v="0"/>
    <n v="0"/>
    <n v="254.97"/>
    <n v="0"/>
    <n v="0"/>
    <n v="0"/>
    <n v="3053.22"/>
    <n v="0"/>
    <n v="0"/>
    <n v="0"/>
    <n v="0"/>
    <n v="113.52"/>
    <n v="610.64"/>
    <n v="177.09"/>
    <n v="1156.22"/>
    <n v="0"/>
    <n v="9.9999999999909051E-3"/>
    <s v="WALTER LUIS MAGALHAES OLIVEIRA"/>
    <n v="3053.22"/>
    <n v="244.25"/>
    <n v="0"/>
    <n v="0"/>
    <s v="WALTER LUIS MAGALHAES OLIVEIRA"/>
    <n v="3053.22"/>
    <n v="254.97"/>
    <n v="0"/>
    <n v="0"/>
  </r>
  <r>
    <s v="WEDRIQUI DA SILVA"/>
    <x v="1"/>
    <s v="A"/>
    <s v="N"/>
    <n v="3529.04"/>
    <n v="0"/>
    <n v="0"/>
    <n v="0"/>
    <n v="0"/>
    <n v="282.32"/>
    <n v="0"/>
    <n v="0"/>
    <n v="0"/>
    <n v="0"/>
    <n v="3529.04"/>
    <n v="0"/>
    <n v="0"/>
    <n v="312.07"/>
    <n v="0"/>
    <n v="0"/>
    <n v="0"/>
    <n v="3529.04"/>
    <n v="0"/>
    <n v="0"/>
    <n v="0"/>
    <n v="0"/>
    <n v="131.21"/>
    <n v="705.81"/>
    <n v="204.68"/>
    <n v="1353.77"/>
    <n v="0"/>
    <n v="0"/>
    <s v="WEDRIQUI DA SILVA"/>
    <n v="3529.04"/>
    <n v="282.32"/>
    <n v="0"/>
    <n v="0"/>
    <s v="WEDRIQUI DA SILVA"/>
    <n v="3529.04"/>
    <n v="312.07"/>
    <n v="0"/>
    <n v="0"/>
  </r>
  <r>
    <s v="WELESON SILVA LOPES"/>
    <x v="13"/>
    <s v="A"/>
    <s v="N"/>
    <n v="1924.29"/>
    <n v="0"/>
    <n v="0"/>
    <n v="0"/>
    <n v="0"/>
    <n v="153.94"/>
    <n v="0"/>
    <n v="0"/>
    <n v="0"/>
    <n v="0"/>
    <n v="1924.29"/>
    <n v="0"/>
    <n v="0"/>
    <n v="148.86000000000001"/>
    <n v="0"/>
    <n v="0"/>
    <n v="0"/>
    <n v="1924.29"/>
    <n v="0"/>
    <n v="0"/>
    <n v="0"/>
    <n v="0"/>
    <n v="71.540000000000006"/>
    <n v="384.86"/>
    <n v="111.61"/>
    <n v="716.87"/>
    <n v="0"/>
    <n v="0"/>
    <s v="WELESON SILVA LOPES"/>
    <n v="1924.29"/>
    <n v="153.94"/>
    <n v="0"/>
    <n v="0"/>
    <s v="WELESON SILVA LOPES"/>
    <n v="1924.29"/>
    <n v="148.86000000000001"/>
    <n v="0"/>
    <n v="0"/>
  </r>
  <r>
    <s v="WESLEY HENRIQUE SOARES DOS SANTOS"/>
    <x v="1"/>
    <s v="A"/>
    <s v="N"/>
    <n v="6999.95"/>
    <n v="0"/>
    <n v="0"/>
    <n v="0"/>
    <n v="0"/>
    <n v="560"/>
    <n v="0"/>
    <n v="0"/>
    <n v="0"/>
    <n v="0"/>
    <n v="6999.95"/>
    <n v="0"/>
    <n v="0"/>
    <n v="781.49"/>
    <n v="0"/>
    <n v="0"/>
    <n v="0"/>
    <n v="6999.95"/>
    <n v="0"/>
    <n v="702.59"/>
    <n v="0"/>
    <n v="0"/>
    <n v="260.25"/>
    <n v="1399.99"/>
    <n v="406"/>
    <n v="2847.73"/>
    <n v="0"/>
    <n v="9.9999999999909051E-3"/>
    <s v="WESLEY HENRIQUE SOARES DOS SANTOS"/>
    <n v="6999.95"/>
    <n v="559.99"/>
    <n v="0"/>
    <n v="0"/>
    <s v="WESLEY HENRIQUE SOARES DOS SANTOS"/>
    <n v="6999.95"/>
    <n v="781.49"/>
    <n v="0"/>
    <n v="0"/>
  </r>
  <r>
    <s v="WICTOR DANIEL DA CRUZ MATA"/>
    <x v="1"/>
    <s v="D"/>
    <s v="N"/>
    <n v="105.13"/>
    <n v="0"/>
    <n v="0"/>
    <n v="0"/>
    <n v="0"/>
    <n v="8.41"/>
    <n v="0"/>
    <n v="0"/>
    <n v="0"/>
    <n v="0"/>
    <n v="105.13"/>
    <n v="0"/>
    <n v="0"/>
    <n v="7.88"/>
    <n v="0"/>
    <n v="0"/>
    <n v="0"/>
    <n v="105.13"/>
    <n v="0"/>
    <n v="0"/>
    <n v="0"/>
    <n v="0"/>
    <n v="3.91"/>
    <n v="21.03"/>
    <n v="6.1"/>
    <n v="38.909999999999997"/>
    <n v="0"/>
    <n v="0"/>
    <s v="WICTOR DANIEL DA CRUZ MATA"/>
    <n v="105.13"/>
    <n v="8.41"/>
    <n v="0"/>
    <n v="0"/>
    <s v="WICTOR DANIEL DA CRUZ MATA"/>
    <n v="105.13"/>
    <n v="7.88"/>
    <n v="0"/>
    <n v="0"/>
  </r>
  <r>
    <s v="WILLIAM CAMPOS DE MORAES"/>
    <x v="1"/>
    <s v="A"/>
    <s v="N"/>
    <n v="3825.32"/>
    <n v="0"/>
    <n v="0"/>
    <n v="0"/>
    <n v="0"/>
    <n v="306.02999999999997"/>
    <n v="0"/>
    <n v="0"/>
    <n v="0"/>
    <n v="0"/>
    <n v="3825.32"/>
    <n v="0"/>
    <n v="0"/>
    <n v="347.62"/>
    <n v="0"/>
    <n v="0"/>
    <n v="0"/>
    <n v="3825.32"/>
    <n v="0"/>
    <n v="0"/>
    <n v="0"/>
    <n v="0"/>
    <n v="142.22"/>
    <n v="765.06"/>
    <n v="221.87"/>
    <n v="1476.77"/>
    <n v="0"/>
    <n v="9.9999999999909051E-3"/>
    <s v="WILLIAM CAMPOS DE MORAES"/>
    <n v="3825.32"/>
    <n v="306.02"/>
    <n v="0"/>
    <n v="0"/>
    <s v="WILLIAM CAMPOS DE MORAES"/>
    <n v="3825.32"/>
    <n v="347.62"/>
    <n v="0"/>
    <n v="0"/>
  </r>
  <r>
    <s v="WILLIAM GUSTAVO DE ARRUDA ANUNCIACAO"/>
    <x v="1"/>
    <s v="A"/>
    <s v="N"/>
    <n v="799.32"/>
    <n v="0"/>
    <n v="0"/>
    <n v="0"/>
    <n v="0"/>
    <n v="63.95"/>
    <n v="0"/>
    <n v="0"/>
    <n v="0"/>
    <n v="0"/>
    <n v="799.32"/>
    <n v="0"/>
    <n v="0"/>
    <n v="59.94"/>
    <n v="0"/>
    <n v="0"/>
    <n v="0"/>
    <n v="799.32"/>
    <n v="0"/>
    <n v="0"/>
    <n v="0"/>
    <n v="0"/>
    <n v="29.72"/>
    <n v="159.86000000000001"/>
    <n v="46.36"/>
    <n v="295.88"/>
    <n v="0"/>
    <n v="1.0000000000005116E-2"/>
    <s v="WILLIAM GUSTAVO DE ARRUDA ANUNCIACAO"/>
    <n v="799.32"/>
    <n v="63.94"/>
    <n v="0"/>
    <n v="0"/>
    <s v="WILLIAM GUSTAVO DE ARRUDA ANUNCIACAO"/>
    <n v="799.32"/>
    <n v="59.94"/>
    <n v="0"/>
    <n v="0"/>
  </r>
  <r>
    <s v="WILLIAN SILVA DE OLIVEIRA"/>
    <x v="1"/>
    <s v="A"/>
    <s v="N"/>
    <n v="4114.16"/>
    <n v="0"/>
    <n v="0"/>
    <n v="0"/>
    <n v="0"/>
    <n v="329.13"/>
    <n v="0"/>
    <n v="0"/>
    <n v="0"/>
    <n v="0"/>
    <n v="4114.16"/>
    <n v="0"/>
    <n v="0"/>
    <n v="382.28"/>
    <n v="0"/>
    <n v="0"/>
    <n v="0"/>
    <n v="4114.16"/>
    <n v="0"/>
    <n v="0"/>
    <n v="0"/>
    <n v="0"/>
    <n v="152.96"/>
    <n v="822.83"/>
    <n v="238.62"/>
    <n v="1596.69"/>
    <n v="0"/>
    <n v="0"/>
    <s v="WILLIAN SILVA DE OLIVEIRA"/>
    <n v="4114.16"/>
    <n v="329.13"/>
    <n v="0"/>
    <n v="0"/>
    <s v="WILLIAN SILVA DE OLIVEIRA"/>
    <n v="4114.16"/>
    <n v="382.28"/>
    <n v="0"/>
    <n v="0"/>
  </r>
  <r>
    <s v="WILSON MARCELINO DO NASCIMENTO"/>
    <x v="1"/>
    <s v="A"/>
    <s v="N"/>
    <n v="7130.1"/>
    <n v="0"/>
    <n v="0"/>
    <n v="0"/>
    <n v="0"/>
    <n v="570.41"/>
    <n v="0"/>
    <n v="0"/>
    <n v="0"/>
    <n v="0"/>
    <n v="7130.1"/>
    <n v="0"/>
    <n v="0"/>
    <n v="799.71"/>
    <n v="0"/>
    <n v="0"/>
    <n v="0"/>
    <n v="7130.1"/>
    <n v="0"/>
    <n v="802.84"/>
    <n v="0"/>
    <n v="0"/>
    <n v="265.08999999999997"/>
    <n v="1426.02"/>
    <n v="413.55"/>
    <n v="2904.37"/>
    <n v="0"/>
    <n v="9.9999999999909051E-3"/>
    <s v="WILSON MARCELINO DO NASCIMENTO"/>
    <n v="7130.1"/>
    <n v="570.4"/>
    <n v="0"/>
    <n v="0"/>
    <s v="WILSON MARCELINO DO NASCIMENTO"/>
    <n v="7130.1"/>
    <n v="799.71"/>
    <n v="0"/>
    <n v="0"/>
  </r>
  <r>
    <s v="ZACARIAS CUSTODIO DA SILVA"/>
    <x v="10"/>
    <s v="A"/>
    <s v="N"/>
    <n v="2354.0100000000002"/>
    <n v="0"/>
    <n v="0"/>
    <n v="0"/>
    <n v="0"/>
    <n v="188.32"/>
    <n v="0"/>
    <n v="0"/>
    <n v="0"/>
    <n v="0"/>
    <n v="2354.0100000000002"/>
    <n v="0"/>
    <n v="0"/>
    <n v="187.54"/>
    <n v="0"/>
    <n v="0"/>
    <n v="0"/>
    <n v="2354.0100000000002"/>
    <n v="0"/>
    <n v="0"/>
    <n v="0"/>
    <n v="0"/>
    <n v="87.52"/>
    <n v="470.8"/>
    <n v="136.53"/>
    <n v="882.39"/>
    <n v="0"/>
    <n v="0"/>
    <s v="ZACARIAS CUSTODIO DA SILVA"/>
    <n v="2354.0100000000002"/>
    <n v="188.32"/>
    <n v="0"/>
    <n v="0"/>
    <s v="ZACARIAS CUSTODIO DA SILVA"/>
    <n v="2354.0100000000002"/>
    <n v="187.54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3093D6-E094-4A5B-AAD9-778025B186B1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multipleFieldFilters="0">
  <location ref="A3:C20" firstHeaderRow="0" firstDataRow="1" firstDataCol="1"/>
  <pivotFields count="42">
    <pivotField showAll="0"/>
    <pivotField axis="axisRow" showAll="0">
      <items count="17">
        <item x="14"/>
        <item x="11"/>
        <item x="4"/>
        <item x="10"/>
        <item x="7"/>
        <item x="5"/>
        <item x="0"/>
        <item x="8"/>
        <item x="2"/>
        <item x="12"/>
        <item x="1"/>
        <item x="15"/>
        <item x="3"/>
        <item x="13"/>
        <item x="9"/>
        <item x="6"/>
        <item t="default"/>
      </items>
    </pivotField>
    <pivotField showAll="0"/>
    <pivotField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dataField="1"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4" showAll="0"/>
    <pivotField numFmtId="166" showAll="0"/>
    <pivotField numFmtId="166" showAll="0"/>
    <pivotField showAll="0"/>
    <pivotField showAll="0"/>
    <pivotField dataField="1" showAll="0"/>
    <pivotField numFmtId="166" showAll="0"/>
    <pivotField numFmtId="166" showAll="0"/>
    <pivotField showAll="0"/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FGTS na Guia" fld="34" baseField="0" baseItem="0"/>
    <dataField name="Soma de IRRF" fld="23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0E76A7A5-5FC3-41E1-B55D-C5E1DCABF189}">
  <we:reference id="wa200007447" version="1.1.6.7" store="pt-BR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_xldudf_BOARDFLARE_EXEC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D008E99F-CA94-4186-916C-031F81484429}">
  <we:reference id="wa200005669" version="2.0.0.0" store="pt-BR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66D86ECC-CABE-4900-85E5-39E01DCC1E88}">
  <we:reference id="wa104380526" version="1.2.0.0" store="pt-BR" storeType="OMEX"/>
  <we:alternateReferences>
    <we:reference id="WA104380526" version="1.2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P279"/>
  <sheetViews>
    <sheetView tabSelected="1" zoomScale="85" zoomScaleNormal="85" workbookViewId="0">
      <pane ySplit="19" topLeftCell="A191" activePane="bottomLeft" state="frozen"/>
      <selection pane="bottomLeft" activeCell="J16" sqref="J16"/>
    </sheetView>
  </sheetViews>
  <sheetFormatPr defaultColWidth="5.42578125" defaultRowHeight="15"/>
  <cols>
    <col min="1" max="1" width="26" customWidth="1"/>
    <col min="2" max="2" width="13.140625" customWidth="1"/>
    <col min="3" max="3" width="10.140625" customWidth="1"/>
    <col min="4" max="4" width="8.42578125" bestFit="1" customWidth="1"/>
    <col min="5" max="5" width="21" customWidth="1"/>
    <col min="6" max="6" width="16.85546875" customWidth="1"/>
    <col min="7" max="7" width="19.42578125" customWidth="1"/>
    <col min="8" max="8" width="14.85546875" customWidth="1"/>
    <col min="9" max="9" width="19.140625" customWidth="1"/>
    <col min="10" max="10" width="15.28515625" customWidth="1"/>
    <col min="11" max="11" width="13.28515625" customWidth="1"/>
    <col min="12" max="12" width="12.28515625" customWidth="1"/>
    <col min="13" max="13" width="13.7109375" customWidth="1"/>
    <col min="14" max="14" width="13.42578125" bestFit="1" customWidth="1"/>
    <col min="15" max="15" width="19.5703125" customWidth="1"/>
    <col min="16" max="16" width="14.85546875" customWidth="1"/>
    <col min="17" max="17" width="15.42578125" customWidth="1"/>
    <col min="18" max="18" width="15.28515625" customWidth="1"/>
    <col min="19" max="19" width="14.85546875" customWidth="1"/>
    <col min="20" max="20" width="14.28515625" customWidth="1"/>
    <col min="21" max="21" width="13.7109375" customWidth="1"/>
    <col min="22" max="22" width="18.140625" customWidth="1"/>
    <col min="23" max="23" width="16.42578125" customWidth="1"/>
    <col min="24" max="24" width="16" customWidth="1"/>
    <col min="25" max="25" width="10.28515625" customWidth="1"/>
    <col min="26" max="26" width="10.5703125" customWidth="1"/>
    <col min="27" max="27" width="13.28515625" customWidth="1"/>
    <col min="28" max="28" width="13.5703125" customWidth="1"/>
    <col min="29" max="30" width="13.28515625" customWidth="1"/>
    <col min="31" max="31" width="13" customWidth="1"/>
    <col min="32" max="32" width="12.28515625" customWidth="1"/>
    <col min="33" max="33" width="18.28515625" customWidth="1"/>
    <col min="34" max="35" width="11" customWidth="1"/>
    <col min="36" max="36" width="11.7109375" customWidth="1"/>
    <col min="37" max="37" width="11" customWidth="1"/>
    <col min="38" max="38" width="17.140625" customWidth="1"/>
    <col min="39" max="39" width="15" customWidth="1"/>
    <col min="40" max="40" width="13.28515625" customWidth="1"/>
    <col min="41" max="41" width="12.5703125" customWidth="1"/>
    <col min="42" max="42" width="12.28515625" customWidth="1"/>
    <col min="43" max="50" width="11" customWidth="1"/>
  </cols>
  <sheetData>
    <row r="1" spans="1:34" ht="19.5" thickBot="1">
      <c r="A1" s="42" t="s">
        <v>52</v>
      </c>
      <c r="E1" s="1" t="s">
        <v>26</v>
      </c>
      <c r="F1" s="2"/>
      <c r="G1" s="2"/>
      <c r="H1" s="2"/>
      <c r="I1" s="2"/>
      <c r="J1" s="2"/>
      <c r="K1" s="3"/>
    </row>
    <row r="2" spans="1:34" ht="19.5" customHeight="1" thickBot="1">
      <c r="E2" s="4"/>
      <c r="F2" s="5"/>
      <c r="G2" s="5"/>
      <c r="H2" s="5"/>
      <c r="I2" s="5"/>
      <c r="J2" s="5"/>
      <c r="K2" s="6"/>
      <c r="M2" s="1" t="s">
        <v>17</v>
      </c>
      <c r="N2" s="2"/>
      <c r="O2" s="2"/>
      <c r="P2" s="2"/>
      <c r="Q2" s="116" t="s">
        <v>31</v>
      </c>
      <c r="R2" s="2"/>
      <c r="S2" s="2"/>
      <c r="T2" s="116" t="s">
        <v>57</v>
      </c>
      <c r="U2" s="2"/>
      <c r="V2" s="116" t="s">
        <v>34</v>
      </c>
      <c r="W2" s="2"/>
      <c r="X2" s="3"/>
    </row>
    <row r="3" spans="1:34" ht="15.75" thickBot="1">
      <c r="E3" s="7" t="s">
        <v>27</v>
      </c>
      <c r="F3" s="8">
        <f>E18+F18+G18+H18+I18</f>
        <v>957147.42999999982</v>
      </c>
      <c r="G3" s="43">
        <f>F3-J5</f>
        <v>0</v>
      </c>
      <c r="H3" s="5"/>
      <c r="I3" s="9" t="s">
        <v>28</v>
      </c>
      <c r="J3" s="3">
        <v>916114.64</v>
      </c>
      <c r="K3" s="6"/>
      <c r="M3" s="10" t="s">
        <v>29</v>
      </c>
      <c r="N3" s="11"/>
      <c r="O3" s="11" t="s">
        <v>30</v>
      </c>
      <c r="P3" s="11"/>
      <c r="Q3" s="117"/>
      <c r="R3" s="11" t="s">
        <v>32</v>
      </c>
      <c r="S3" s="11" t="s">
        <v>33</v>
      </c>
      <c r="T3" s="117"/>
      <c r="U3" s="37" t="s">
        <v>56</v>
      </c>
      <c r="V3" s="117"/>
      <c r="W3" s="11" t="s">
        <v>35</v>
      </c>
      <c r="X3" s="6"/>
    </row>
    <row r="4" spans="1:34" ht="15.75" thickBot="1">
      <c r="E4" s="4"/>
      <c r="F4" s="5"/>
      <c r="G4" s="5"/>
      <c r="H4" s="5"/>
      <c r="I4" s="4" t="s">
        <v>36</v>
      </c>
      <c r="J4" s="6">
        <v>41032.79</v>
      </c>
      <c r="K4" s="6"/>
      <c r="M4" s="108" t="s">
        <v>37</v>
      </c>
      <c r="N4" s="109">
        <f>V137</f>
        <v>8475.5499999999993</v>
      </c>
      <c r="O4" s="114">
        <f>O6</f>
        <v>926484.66999999981</v>
      </c>
      <c r="P4" s="106">
        <f>eSocial!B3</f>
        <v>936260.22</v>
      </c>
      <c r="Q4" s="5">
        <v>0</v>
      </c>
      <c r="R4" s="5"/>
      <c r="S4" s="103">
        <f>eSocial!D18</f>
        <v>53735.950000000004</v>
      </c>
      <c r="T4" s="13">
        <v>3</v>
      </c>
      <c r="U4" s="14">
        <f>IF(A1="CONCRETA",1.2393,1.0312)</f>
        <v>1.2393000000000001</v>
      </c>
      <c r="V4" s="5">
        <f>U6+R8+S5+O13-Q4</f>
        <v>363764.73840592994</v>
      </c>
      <c r="W4" s="15">
        <f>X18+Y18+Z18</f>
        <v>30463.96</v>
      </c>
      <c r="X4" s="16">
        <f>DCTFWeb!G19</f>
        <v>30463.96</v>
      </c>
    </row>
    <row r="5" spans="1:34" ht="15.75" thickBot="1">
      <c r="E5" s="9"/>
      <c r="F5" s="2" t="s">
        <v>38</v>
      </c>
      <c r="G5" s="3" t="s">
        <v>39</v>
      </c>
      <c r="H5" s="5"/>
      <c r="I5" s="17"/>
      <c r="J5" s="18">
        <f>SUM(J3:J4)</f>
        <v>957147.43</v>
      </c>
      <c r="K5" s="6"/>
      <c r="M5" s="110" t="s">
        <v>437</v>
      </c>
      <c r="N5" s="111">
        <f>Q18</f>
        <v>1300</v>
      </c>
      <c r="O5" s="5" t="s">
        <v>40</v>
      </c>
      <c r="P5" s="5">
        <f>O4-P4+N6</f>
        <v>-1.6370904631912708E-10</v>
      </c>
      <c r="Q5" s="5"/>
      <c r="R5" s="5"/>
      <c r="S5" s="104">
        <f>O6*0.058</f>
        <v>53736.110859999993</v>
      </c>
      <c r="T5" s="5"/>
      <c r="U5" s="14">
        <f>T4*U4</f>
        <v>3.7179000000000002</v>
      </c>
      <c r="V5" s="5"/>
      <c r="W5" s="5"/>
      <c r="X5" s="6"/>
    </row>
    <row r="6" spans="1:34">
      <c r="E6" s="19" t="s">
        <v>41</v>
      </c>
      <c r="F6" s="5">
        <f>(E18+F18+G18+H18+I18)-F7</f>
        <v>953406.98999999987</v>
      </c>
      <c r="G6" s="6">
        <f>F6*0.08</f>
        <v>76272.559199999989</v>
      </c>
      <c r="H6" s="5"/>
      <c r="I6" s="5"/>
      <c r="J6" s="5"/>
      <c r="K6" s="6"/>
      <c r="M6" s="112"/>
      <c r="N6" s="113">
        <f>SUM(N4:N5)</f>
        <v>9775.5499999999993</v>
      </c>
      <c r="O6" s="12">
        <f>M8+N8+N9-N4</f>
        <v>926484.66999999981</v>
      </c>
      <c r="P6" s="5"/>
      <c r="Q6" s="5"/>
      <c r="R6" s="105">
        <f>N6*0.2</f>
        <v>1955.11</v>
      </c>
      <c r="S6" s="106">
        <f>eSocial!B17</f>
        <v>1955.11</v>
      </c>
      <c r="T6" s="5"/>
      <c r="U6" s="107">
        <f>O6*(U5/100)</f>
        <v>34445.773545929995</v>
      </c>
      <c r="V6" s="106">
        <f>eSocial!B23</f>
        <v>34445.74</v>
      </c>
      <c r="W6" s="5" t="s">
        <v>42</v>
      </c>
      <c r="X6" s="6">
        <f>DCTFWeb!G4</f>
        <v>394228.49</v>
      </c>
    </row>
    <row r="7" spans="1:34" ht="15.75" thickBot="1">
      <c r="E7" s="21" t="s">
        <v>43</v>
      </c>
      <c r="F7" s="22">
        <f>E51+E78+E144+E145+E178+E215+E227</f>
        <v>3740.44</v>
      </c>
      <c r="G7" s="23">
        <f>F7*0.02</f>
        <v>74.808800000000005</v>
      </c>
      <c r="H7" s="5"/>
      <c r="I7" s="5"/>
      <c r="J7" s="5"/>
      <c r="K7" s="6"/>
      <c r="M7" s="4"/>
      <c r="O7" s="5"/>
      <c r="P7" s="5"/>
      <c r="Q7" s="5"/>
      <c r="R7" s="107">
        <f>O6*0.2</f>
        <v>185296.93399999998</v>
      </c>
      <c r="S7" s="106">
        <f>eSocial!B16</f>
        <v>185296.92</v>
      </c>
      <c r="T7" s="5"/>
      <c r="U7" s="5"/>
      <c r="V7" s="5"/>
      <c r="W7" s="5"/>
      <c r="X7" s="6"/>
    </row>
    <row r="8" spans="1:34" ht="15.75" thickBot="1">
      <c r="E8" s="4"/>
      <c r="F8" s="5"/>
      <c r="G8" s="5"/>
      <c r="H8" s="5"/>
      <c r="I8" s="5"/>
      <c r="J8" s="5"/>
      <c r="K8" s="6"/>
      <c r="M8" s="20">
        <f>O18</f>
        <v>893927.42999999982</v>
      </c>
      <c r="N8" s="12">
        <f>P18</f>
        <v>41032.790000000008</v>
      </c>
      <c r="R8" s="11">
        <f>SUM(R6:R7)</f>
        <v>187252.04399999997</v>
      </c>
      <c r="S8" s="5"/>
      <c r="T8" s="5"/>
      <c r="U8" s="5"/>
      <c r="V8" s="5"/>
      <c r="W8" s="5"/>
      <c r="X8" s="6">
        <f>X6-X4</f>
        <v>363764.52999999997</v>
      </c>
    </row>
    <row r="9" spans="1:34">
      <c r="E9" s="9" t="s">
        <v>44</v>
      </c>
      <c r="F9" s="2">
        <f>G9/8*100</f>
        <v>82106.5</v>
      </c>
      <c r="G9" s="3">
        <f>GRRF!K15</f>
        <v>6568.52</v>
      </c>
      <c r="H9" s="5"/>
      <c r="I9" s="5"/>
      <c r="J9" s="5"/>
      <c r="K9" s="6"/>
      <c r="M9" s="4"/>
      <c r="N9" s="24">
        <f>I18</f>
        <v>0</v>
      </c>
      <c r="O9" s="25">
        <f>U18</f>
        <v>0</v>
      </c>
      <c r="P9" s="5"/>
      <c r="Q9" s="5"/>
      <c r="R9" s="5"/>
      <c r="S9" s="5"/>
      <c r="T9" s="5"/>
      <c r="U9" s="5"/>
      <c r="V9" s="27">
        <f>V4-X8</f>
        <v>0.20840592996682972</v>
      </c>
      <c r="W9" s="5"/>
      <c r="X9" s="6"/>
    </row>
    <row r="10" spans="1:34" ht="15.75" thickBot="1">
      <c r="E10" s="17" t="s">
        <v>45</v>
      </c>
      <c r="F10" s="22">
        <f>G10/2*100</f>
        <v>0</v>
      </c>
      <c r="G10" s="23">
        <v>0</v>
      </c>
      <c r="H10" s="5"/>
      <c r="I10" s="5"/>
      <c r="J10" s="5"/>
      <c r="K10" s="6"/>
      <c r="M10" s="4"/>
      <c r="N10" s="5" t="s">
        <v>17</v>
      </c>
      <c r="O10" s="26">
        <f>R18</f>
        <v>84246.860000000015</v>
      </c>
      <c r="P10" s="5"/>
      <c r="Q10" s="5"/>
      <c r="R10" s="5" t="s">
        <v>46</v>
      </c>
      <c r="S10" s="29">
        <f>S4-S5</f>
        <v>-0.16085999998904299</v>
      </c>
      <c r="T10" s="5"/>
      <c r="U10" s="5"/>
      <c r="V10" s="5"/>
      <c r="W10" s="5"/>
      <c r="X10" s="6"/>
    </row>
    <row r="11" spans="1:34">
      <c r="E11" s="4"/>
      <c r="F11" s="11">
        <f>SUBTOTAL(9,F9:F10)</f>
        <v>82106.5</v>
      </c>
      <c r="G11" s="11">
        <f>SUBTOTAL(9,G9:G10)</f>
        <v>6568.52</v>
      </c>
      <c r="H11" s="5"/>
      <c r="I11" s="102"/>
      <c r="J11" s="5"/>
      <c r="K11" s="6"/>
      <c r="M11" s="4"/>
      <c r="N11" s="5" t="s">
        <v>436</v>
      </c>
      <c r="O11" s="28">
        <f>S18</f>
        <v>3500.33</v>
      </c>
      <c r="P11" s="5"/>
      <c r="Q11" s="5"/>
      <c r="R11" s="5" t="s">
        <v>47</v>
      </c>
      <c r="S11" s="5">
        <f>S7-R7</f>
        <v>-1.3999999966472387E-2</v>
      </c>
      <c r="T11" s="5"/>
      <c r="U11" s="5"/>
      <c r="V11" s="5"/>
      <c r="W11" s="5"/>
      <c r="X11" s="6"/>
      <c r="AH11" s="55"/>
    </row>
    <row r="12" spans="1:34" ht="15.75" thickBot="1">
      <c r="E12" s="4"/>
      <c r="F12" s="5"/>
      <c r="G12" s="5"/>
      <c r="H12" s="5"/>
      <c r="I12" s="5"/>
      <c r="J12" s="5"/>
      <c r="K12" s="6"/>
      <c r="M12" s="4"/>
      <c r="N12" s="5" t="s">
        <v>435</v>
      </c>
      <c r="O12" s="30">
        <f>T18</f>
        <v>583.62</v>
      </c>
      <c r="Q12" s="5"/>
      <c r="R12" s="5" t="s">
        <v>49</v>
      </c>
      <c r="S12" s="5">
        <f>V6-U6</f>
        <v>-3.3545929996762425E-2</v>
      </c>
      <c r="T12" s="5"/>
      <c r="U12" s="5"/>
      <c r="V12" s="5"/>
      <c r="W12" s="5"/>
      <c r="X12" s="6"/>
    </row>
    <row r="13" spans="1:34">
      <c r="E13" s="9" t="s">
        <v>50</v>
      </c>
      <c r="F13" s="2">
        <f>F6-F9</f>
        <v>871300.48999999987</v>
      </c>
      <c r="G13" s="3">
        <f>F13*0.08</f>
        <v>69704.039199999985</v>
      </c>
      <c r="H13" s="5"/>
      <c r="I13" s="5"/>
      <c r="J13" s="5"/>
      <c r="K13" s="6"/>
      <c r="M13" s="4"/>
      <c r="N13" s="5" t="s">
        <v>48</v>
      </c>
      <c r="O13" s="115">
        <f>SUM(O9:O12)</f>
        <v>88330.810000000012</v>
      </c>
      <c r="P13" s="106">
        <f>eSocial!D14</f>
        <v>88330.81</v>
      </c>
      <c r="Q13" s="5">
        <f>P13-O13</f>
        <v>0</v>
      </c>
      <c r="R13" s="5"/>
      <c r="S13" s="5"/>
      <c r="T13" s="5"/>
      <c r="U13" s="5"/>
      <c r="V13" s="5"/>
      <c r="W13" s="5"/>
      <c r="X13" s="6"/>
    </row>
    <row r="14" spans="1:34" ht="15.75" thickBot="1">
      <c r="E14" s="4" t="s">
        <v>51</v>
      </c>
      <c r="F14" s="5">
        <f>F7-F10</f>
        <v>3740.44</v>
      </c>
      <c r="G14" s="6">
        <f>F14*0.02</f>
        <v>74.808800000000005</v>
      </c>
      <c r="H14" s="44" t="s">
        <v>58</v>
      </c>
      <c r="I14" s="44"/>
      <c r="K14" s="6"/>
      <c r="L14" s="31"/>
      <c r="M14" s="17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3"/>
    </row>
    <row r="15" spans="1:34" ht="15.75" thickBot="1">
      <c r="E15" s="17"/>
      <c r="F15" s="22"/>
      <c r="G15" s="32">
        <f>SUM(G13:G14)</f>
        <v>69778.847999999984</v>
      </c>
      <c r="H15" s="45">
        <v>69777.460000000006</v>
      </c>
      <c r="I15" s="44">
        <f>G15-H15</f>
        <v>1.3879999999771826</v>
      </c>
      <c r="J15" s="5">
        <f>H15-J199</f>
        <v>69597.310000000012</v>
      </c>
      <c r="K15" s="6"/>
      <c r="N15" s="31"/>
      <c r="O15" s="31"/>
      <c r="P15" s="31"/>
      <c r="Q15" s="31"/>
      <c r="R15" s="31"/>
      <c r="S15" s="31"/>
      <c r="T15" s="31"/>
      <c r="U15" s="31"/>
    </row>
    <row r="16" spans="1:34" ht="15.75" thickBot="1">
      <c r="E16" s="17"/>
      <c r="F16" s="22"/>
      <c r="G16" s="22"/>
      <c r="H16" s="22"/>
      <c r="I16" s="22"/>
      <c r="J16" s="22"/>
      <c r="K16" s="23"/>
      <c r="L16" s="31"/>
      <c r="M16" s="31"/>
      <c r="N16" s="31"/>
      <c r="O16" s="31"/>
      <c r="P16" s="31"/>
      <c r="Q16" s="31"/>
      <c r="R16" s="31"/>
      <c r="S16" s="31"/>
      <c r="T16" s="31"/>
      <c r="U16" s="31"/>
    </row>
    <row r="18" spans="1:42">
      <c r="E18" s="36">
        <f>E279</f>
        <v>885451.87999999989</v>
      </c>
      <c r="F18" s="36">
        <f t="shared" ref="F18:AD18" si="0">F279</f>
        <v>30662.760000000002</v>
      </c>
      <c r="G18" s="36">
        <f t="shared" si="0"/>
        <v>2423.9500000000003</v>
      </c>
      <c r="H18" s="36">
        <f t="shared" si="0"/>
        <v>38608.840000000004</v>
      </c>
      <c r="I18" s="36">
        <f t="shared" si="0"/>
        <v>0</v>
      </c>
      <c r="J18" s="36">
        <f t="shared" si="0"/>
        <v>70611.700000000026</v>
      </c>
      <c r="K18" s="36">
        <f t="shared" si="0"/>
        <v>2453.0300000000002</v>
      </c>
      <c r="L18" s="36">
        <f t="shared" si="0"/>
        <v>193.92000000000002</v>
      </c>
      <c r="M18" s="36">
        <f t="shared" si="0"/>
        <v>3088.7400000000002</v>
      </c>
      <c r="N18" s="36">
        <f t="shared" si="0"/>
        <v>0</v>
      </c>
      <c r="O18" s="36">
        <f t="shared" si="0"/>
        <v>893927.42999999982</v>
      </c>
      <c r="P18" s="36">
        <f t="shared" si="0"/>
        <v>41032.790000000008</v>
      </c>
      <c r="Q18" s="36">
        <f t="shared" si="0"/>
        <v>1300</v>
      </c>
      <c r="R18" s="36">
        <f t="shared" si="0"/>
        <v>84246.860000000015</v>
      </c>
      <c r="S18" s="36">
        <f t="shared" si="0"/>
        <v>3500.33</v>
      </c>
      <c r="T18" s="36">
        <f t="shared" si="0"/>
        <v>583.62</v>
      </c>
      <c r="U18" s="36">
        <f t="shared" si="0"/>
        <v>0</v>
      </c>
      <c r="V18" s="36">
        <f t="shared" si="0"/>
        <v>887336.0199999999</v>
      </c>
      <c r="W18" s="36">
        <f t="shared" si="0"/>
        <v>5826.28</v>
      </c>
      <c r="X18" s="36">
        <f t="shared" si="0"/>
        <v>30364.61</v>
      </c>
      <c r="Y18" s="36">
        <f t="shared" si="0"/>
        <v>99.35</v>
      </c>
      <c r="Z18" s="36">
        <f t="shared" si="0"/>
        <v>0</v>
      </c>
      <c r="AA18" s="36">
        <f t="shared" si="0"/>
        <v>34760.89</v>
      </c>
      <c r="AB18" s="36">
        <f t="shared" si="0"/>
        <v>186992.04</v>
      </c>
      <c r="AC18" s="36">
        <f t="shared" si="0"/>
        <v>54227.69</v>
      </c>
      <c r="AD18" s="36">
        <f t="shared" si="0"/>
        <v>364294.91</v>
      </c>
    </row>
    <row r="19" spans="1:42" s="35" customFormat="1" ht="33.75" customHeight="1">
      <c r="A19" s="33" t="s">
        <v>0</v>
      </c>
      <c r="B19" s="33" t="s">
        <v>1</v>
      </c>
      <c r="C19" s="33" t="s">
        <v>2</v>
      </c>
      <c r="D19" s="33" t="s">
        <v>3</v>
      </c>
      <c r="E19" s="34" t="s">
        <v>4</v>
      </c>
      <c r="F19" s="34" t="s">
        <v>5</v>
      </c>
      <c r="G19" s="34" t="s">
        <v>6</v>
      </c>
      <c r="H19" s="33" t="s">
        <v>7</v>
      </c>
      <c r="I19" s="33" t="s">
        <v>8</v>
      </c>
      <c r="J19" s="33" t="s">
        <v>9</v>
      </c>
      <c r="K19" s="33" t="s">
        <v>10</v>
      </c>
      <c r="L19" s="33" t="s">
        <v>11</v>
      </c>
      <c r="M19" s="33" t="s">
        <v>12</v>
      </c>
      <c r="N19" s="33" t="s">
        <v>13</v>
      </c>
      <c r="O19" s="33" t="s">
        <v>14</v>
      </c>
      <c r="P19" s="33" t="s">
        <v>15</v>
      </c>
      <c r="Q19" s="33" t="s">
        <v>16</v>
      </c>
      <c r="R19" s="33" t="s">
        <v>17</v>
      </c>
      <c r="S19" s="33" t="s">
        <v>18</v>
      </c>
      <c r="T19" s="33" t="s">
        <v>19</v>
      </c>
      <c r="U19" s="33" t="s">
        <v>20</v>
      </c>
      <c r="V19" s="33" t="s">
        <v>21</v>
      </c>
      <c r="W19" s="33" t="s">
        <v>22</v>
      </c>
      <c r="X19" s="33" t="s">
        <v>23</v>
      </c>
      <c r="Y19" s="33" t="s">
        <v>24</v>
      </c>
      <c r="Z19" s="33" t="s">
        <v>25</v>
      </c>
      <c r="AA19" s="33" t="s">
        <v>59</v>
      </c>
      <c r="AB19" s="33" t="s">
        <v>60</v>
      </c>
      <c r="AC19" s="33" t="s">
        <v>61</v>
      </c>
      <c r="AD19" s="33" t="s">
        <v>62</v>
      </c>
      <c r="AE19" s="35" t="s">
        <v>373</v>
      </c>
      <c r="AF19" s="35" t="s">
        <v>374</v>
      </c>
      <c r="AG19" t="s">
        <v>363</v>
      </c>
      <c r="AH19" t="s">
        <v>364</v>
      </c>
      <c r="AI19" t="s">
        <v>365</v>
      </c>
      <c r="AJ19" s="99" t="s">
        <v>445</v>
      </c>
      <c r="AK19" s="99" t="s">
        <v>446</v>
      </c>
      <c r="AL19" s="98" t="s">
        <v>438</v>
      </c>
      <c r="AM19" s="98" t="s">
        <v>439</v>
      </c>
      <c r="AN19" s="98" t="s">
        <v>440</v>
      </c>
      <c r="AO19" s="98" t="s">
        <v>441</v>
      </c>
      <c r="AP19" s="98" t="s">
        <v>442</v>
      </c>
    </row>
    <row r="20" spans="1:42" ht="15" customHeight="1">
      <c r="A20" s="38" t="s">
        <v>63</v>
      </c>
      <c r="B20" s="38" t="s">
        <v>64</v>
      </c>
      <c r="C20" s="38" t="s">
        <v>65</v>
      </c>
      <c r="D20" s="38" t="s">
        <v>66</v>
      </c>
      <c r="E20" s="39">
        <v>2354.0100000000002</v>
      </c>
      <c r="F20" s="39">
        <v>0</v>
      </c>
      <c r="G20" s="39">
        <v>0</v>
      </c>
      <c r="H20" s="40">
        <v>0</v>
      </c>
      <c r="I20" s="40">
        <v>0</v>
      </c>
      <c r="J20" s="40">
        <v>188.32</v>
      </c>
      <c r="K20" s="40">
        <v>0</v>
      </c>
      <c r="L20" s="40">
        <v>0</v>
      </c>
      <c r="M20" s="40">
        <v>0</v>
      </c>
      <c r="N20" s="40">
        <v>0</v>
      </c>
      <c r="O20" s="40">
        <v>2354.0100000000002</v>
      </c>
      <c r="P20" s="40">
        <v>0</v>
      </c>
      <c r="Q20" s="40">
        <v>0</v>
      </c>
      <c r="R20" s="40">
        <v>187.54</v>
      </c>
      <c r="S20" s="40">
        <v>0</v>
      </c>
      <c r="T20" s="40">
        <v>0</v>
      </c>
      <c r="U20" s="40">
        <v>0</v>
      </c>
      <c r="V20" s="40">
        <v>2354.0100000000002</v>
      </c>
      <c r="W20" s="40">
        <v>0</v>
      </c>
      <c r="X20" s="40">
        <v>0</v>
      </c>
      <c r="Y20" s="40">
        <v>0</v>
      </c>
      <c r="Z20" s="40">
        <v>0</v>
      </c>
      <c r="AA20" s="40">
        <v>87.52</v>
      </c>
      <c r="AB20" s="40">
        <v>470.8</v>
      </c>
      <c r="AC20" s="40">
        <v>136.53</v>
      </c>
      <c r="AD20" s="40">
        <v>882.39</v>
      </c>
      <c r="AE20" s="49">
        <f>(E20+F20+G20+H20+I20)-AH20</f>
        <v>0</v>
      </c>
      <c r="AF20" s="49">
        <f>(J20+K20+L20+M20+N20)-AI20</f>
        <v>0</v>
      </c>
      <c r="AG20" t="s">
        <v>63</v>
      </c>
      <c r="AH20" s="55">
        <v>2354.0100000000002</v>
      </c>
      <c r="AI20">
        <v>188.32</v>
      </c>
      <c r="AJ20" s="49">
        <f>(O20+P20)-(AM20+AO20)</f>
        <v>0</v>
      </c>
      <c r="AK20" s="49">
        <f>(R20+S20+T20+U20)-(AN20+AP20)</f>
        <v>0</v>
      </c>
      <c r="AL20" t="s">
        <v>63</v>
      </c>
      <c r="AM20" s="81">
        <v>2354.0100000000002</v>
      </c>
      <c r="AN20" s="81">
        <v>187.54</v>
      </c>
      <c r="AO20" s="81">
        <v>0</v>
      </c>
      <c r="AP20" s="81">
        <v>0</v>
      </c>
    </row>
    <row r="21" spans="1:42" ht="15" customHeight="1">
      <c r="A21" s="38" t="s">
        <v>67</v>
      </c>
      <c r="B21" s="38" t="s">
        <v>68</v>
      </c>
      <c r="C21" s="38" t="s">
        <v>65</v>
      </c>
      <c r="D21" s="38" t="s">
        <v>66</v>
      </c>
      <c r="E21" s="39">
        <v>3702.68</v>
      </c>
      <c r="F21" s="39">
        <v>0</v>
      </c>
      <c r="G21" s="39">
        <v>0</v>
      </c>
      <c r="H21" s="40">
        <v>0</v>
      </c>
      <c r="I21" s="40">
        <v>0</v>
      </c>
      <c r="J21" s="40">
        <v>296.20999999999998</v>
      </c>
      <c r="K21" s="40">
        <v>0</v>
      </c>
      <c r="L21" s="40">
        <v>0</v>
      </c>
      <c r="M21" s="40">
        <v>0</v>
      </c>
      <c r="N21" s="40">
        <v>0</v>
      </c>
      <c r="O21" s="40">
        <v>3702.68</v>
      </c>
      <c r="P21" s="40">
        <v>0</v>
      </c>
      <c r="Q21" s="40">
        <v>0</v>
      </c>
      <c r="R21" s="40">
        <v>332.91</v>
      </c>
      <c r="S21" s="40">
        <v>0</v>
      </c>
      <c r="T21" s="40">
        <v>0</v>
      </c>
      <c r="U21" s="40">
        <v>0</v>
      </c>
      <c r="V21" s="40">
        <v>3702.68</v>
      </c>
      <c r="W21" s="40">
        <v>0</v>
      </c>
      <c r="X21" s="40">
        <v>0</v>
      </c>
      <c r="Y21" s="40">
        <v>0</v>
      </c>
      <c r="Z21" s="40">
        <v>0</v>
      </c>
      <c r="AA21" s="40">
        <v>137.66</v>
      </c>
      <c r="AB21" s="40">
        <v>740.54</v>
      </c>
      <c r="AC21" s="40">
        <v>214.76</v>
      </c>
      <c r="AD21" s="40">
        <v>1425.86</v>
      </c>
      <c r="AE21" s="49">
        <f t="shared" ref="AE21:AE28" si="1">(E21+F21+G21+H21+I21)-AH21</f>
        <v>0</v>
      </c>
      <c r="AF21" s="49">
        <f t="shared" ref="AF21:AF28" si="2">(J21+K21+L21+M21+N21)-AI21</f>
        <v>0</v>
      </c>
      <c r="AG21" t="s">
        <v>67</v>
      </c>
      <c r="AH21" s="55">
        <v>3702.68</v>
      </c>
      <c r="AI21">
        <v>296.20999999999998</v>
      </c>
      <c r="AJ21" s="49">
        <f t="shared" ref="AJ21:AJ42" si="3">(O21+P21)-(AM21+AO21)</f>
        <v>0</v>
      </c>
      <c r="AK21" s="49">
        <f t="shared" ref="AK21:AK28" si="4">(R21+S21+T21+U21)-(AN21+AP21)</f>
        <v>0</v>
      </c>
      <c r="AL21" t="s">
        <v>67</v>
      </c>
      <c r="AM21" s="81">
        <v>3702.68</v>
      </c>
      <c r="AN21" s="81">
        <v>332.91</v>
      </c>
      <c r="AO21" s="81">
        <v>0</v>
      </c>
      <c r="AP21" s="81">
        <v>0</v>
      </c>
    </row>
    <row r="22" spans="1:42" ht="15" customHeight="1">
      <c r="A22" s="38" t="s">
        <v>69</v>
      </c>
      <c r="B22" s="38" t="s">
        <v>68</v>
      </c>
      <c r="C22" s="38" t="s">
        <v>65</v>
      </c>
      <c r="D22" s="38" t="s">
        <v>66</v>
      </c>
      <c r="E22" s="39">
        <v>3716.01</v>
      </c>
      <c r="F22" s="39">
        <v>0</v>
      </c>
      <c r="G22" s="39">
        <v>0</v>
      </c>
      <c r="H22" s="40">
        <v>0</v>
      </c>
      <c r="I22" s="40">
        <v>0</v>
      </c>
      <c r="J22" s="40">
        <v>297.27999999999997</v>
      </c>
      <c r="K22" s="40">
        <v>0</v>
      </c>
      <c r="L22" s="40">
        <v>0</v>
      </c>
      <c r="M22" s="40">
        <v>0</v>
      </c>
      <c r="N22" s="40">
        <v>0</v>
      </c>
      <c r="O22" s="40">
        <v>3716.01</v>
      </c>
      <c r="P22" s="40">
        <v>0</v>
      </c>
      <c r="Q22" s="40">
        <v>0</v>
      </c>
      <c r="R22" s="40">
        <v>334.51</v>
      </c>
      <c r="S22" s="40">
        <v>0</v>
      </c>
      <c r="T22" s="40">
        <v>0</v>
      </c>
      <c r="U22" s="40">
        <v>0</v>
      </c>
      <c r="V22" s="40">
        <v>3716.01</v>
      </c>
      <c r="W22" s="40">
        <v>0</v>
      </c>
      <c r="X22" s="40">
        <v>0</v>
      </c>
      <c r="Y22" s="40">
        <v>0</v>
      </c>
      <c r="Z22" s="40">
        <v>0</v>
      </c>
      <c r="AA22" s="40">
        <v>138.16</v>
      </c>
      <c r="AB22" s="40">
        <v>743.2</v>
      </c>
      <c r="AC22" s="40">
        <v>215.53</v>
      </c>
      <c r="AD22" s="40">
        <v>1431.4</v>
      </c>
      <c r="AE22" s="49">
        <f t="shared" si="1"/>
        <v>0</v>
      </c>
      <c r="AF22" s="49">
        <f t="shared" si="2"/>
        <v>0</v>
      </c>
      <c r="AG22" t="s">
        <v>69</v>
      </c>
      <c r="AH22" s="55">
        <v>3716.01</v>
      </c>
      <c r="AI22">
        <v>297.27999999999997</v>
      </c>
      <c r="AJ22" s="49">
        <f t="shared" si="3"/>
        <v>0</v>
      </c>
      <c r="AK22" s="49">
        <f t="shared" si="4"/>
        <v>0</v>
      </c>
      <c r="AL22" t="s">
        <v>69</v>
      </c>
      <c r="AM22" s="81">
        <v>3716.01</v>
      </c>
      <c r="AN22" s="81">
        <v>334.51</v>
      </c>
      <c r="AO22" s="81">
        <v>0</v>
      </c>
      <c r="AP22" s="81">
        <v>0</v>
      </c>
    </row>
    <row r="23" spans="1:42" ht="15" customHeight="1">
      <c r="A23" s="38" t="s">
        <v>70</v>
      </c>
      <c r="B23" s="38" t="s">
        <v>71</v>
      </c>
      <c r="C23" s="38" t="s">
        <v>65</v>
      </c>
      <c r="D23" s="38" t="s">
        <v>66</v>
      </c>
      <c r="E23" s="39">
        <v>1839.59</v>
      </c>
      <c r="F23" s="39">
        <v>0</v>
      </c>
      <c r="G23" s="39">
        <v>0</v>
      </c>
      <c r="H23" s="40">
        <v>0</v>
      </c>
      <c r="I23" s="40">
        <v>0</v>
      </c>
      <c r="J23" s="40">
        <v>147.16999999999999</v>
      </c>
      <c r="K23" s="40">
        <v>0</v>
      </c>
      <c r="L23" s="40">
        <v>0</v>
      </c>
      <c r="M23" s="40">
        <v>0</v>
      </c>
      <c r="N23" s="40">
        <v>0</v>
      </c>
      <c r="O23" s="40">
        <v>1839.59</v>
      </c>
      <c r="P23" s="40">
        <v>0</v>
      </c>
      <c r="Q23" s="40">
        <v>0</v>
      </c>
      <c r="R23" s="40">
        <v>141.24</v>
      </c>
      <c r="S23" s="40">
        <v>0</v>
      </c>
      <c r="T23" s="40">
        <v>0</v>
      </c>
      <c r="U23" s="40">
        <v>0</v>
      </c>
      <c r="V23" s="40">
        <v>1839.59</v>
      </c>
      <c r="W23" s="40">
        <v>0</v>
      </c>
      <c r="X23" s="40">
        <v>0</v>
      </c>
      <c r="Y23" s="40">
        <v>0</v>
      </c>
      <c r="Z23" s="40">
        <v>0</v>
      </c>
      <c r="AA23" s="40">
        <v>68.39</v>
      </c>
      <c r="AB23" s="40">
        <v>367.92</v>
      </c>
      <c r="AC23" s="40">
        <v>106.7</v>
      </c>
      <c r="AD23" s="40">
        <v>684.25</v>
      </c>
      <c r="AE23" s="49">
        <f t="shared" si="1"/>
        <v>0</v>
      </c>
      <c r="AF23" s="49">
        <f t="shared" si="2"/>
        <v>9.9999999999909051E-3</v>
      </c>
      <c r="AG23" t="s">
        <v>70</v>
      </c>
      <c r="AH23" s="55">
        <v>1839.59</v>
      </c>
      <c r="AI23">
        <v>147.16</v>
      </c>
      <c r="AJ23" s="49">
        <f t="shared" si="3"/>
        <v>0</v>
      </c>
      <c r="AK23" s="49">
        <f t="shared" si="4"/>
        <v>0</v>
      </c>
      <c r="AL23" t="s">
        <v>70</v>
      </c>
      <c r="AM23" s="81">
        <v>1839.59</v>
      </c>
      <c r="AN23" s="81">
        <v>141.24</v>
      </c>
      <c r="AO23" s="81">
        <v>0</v>
      </c>
      <c r="AP23" s="81">
        <v>0</v>
      </c>
    </row>
    <row r="24" spans="1:42" ht="15" customHeight="1">
      <c r="A24" s="38" t="s">
        <v>72</v>
      </c>
      <c r="B24" s="38" t="s">
        <v>68</v>
      </c>
      <c r="C24" s="38" t="s">
        <v>65</v>
      </c>
      <c r="D24" s="38" t="s">
        <v>66</v>
      </c>
      <c r="E24" s="39">
        <v>3869.42</v>
      </c>
      <c r="F24" s="39">
        <v>0</v>
      </c>
      <c r="G24" s="39">
        <v>0</v>
      </c>
      <c r="H24" s="40">
        <v>0</v>
      </c>
      <c r="I24" s="40">
        <v>0</v>
      </c>
      <c r="J24" s="40">
        <v>309.55</v>
      </c>
      <c r="K24" s="40">
        <v>0</v>
      </c>
      <c r="L24" s="40">
        <v>0</v>
      </c>
      <c r="M24" s="40">
        <v>0</v>
      </c>
      <c r="N24" s="40">
        <v>0</v>
      </c>
      <c r="O24" s="40">
        <v>3869.42</v>
      </c>
      <c r="P24" s="40">
        <v>0</v>
      </c>
      <c r="Q24" s="40">
        <v>0</v>
      </c>
      <c r="R24" s="40">
        <v>352.91</v>
      </c>
      <c r="S24" s="40">
        <v>0</v>
      </c>
      <c r="T24" s="40">
        <v>0</v>
      </c>
      <c r="U24" s="40">
        <v>0</v>
      </c>
      <c r="V24" s="40">
        <v>3869.42</v>
      </c>
      <c r="W24" s="40">
        <v>0</v>
      </c>
      <c r="X24" s="40">
        <v>0</v>
      </c>
      <c r="Y24" s="40">
        <v>0</v>
      </c>
      <c r="Z24" s="40">
        <v>0</v>
      </c>
      <c r="AA24" s="40">
        <v>143.86000000000001</v>
      </c>
      <c r="AB24" s="40">
        <v>773.88</v>
      </c>
      <c r="AC24" s="40">
        <v>224.43</v>
      </c>
      <c r="AD24" s="40">
        <v>1495.08</v>
      </c>
      <c r="AE24" s="49">
        <f t="shared" si="1"/>
        <v>0</v>
      </c>
      <c r="AF24" s="49">
        <f t="shared" si="2"/>
        <v>0</v>
      </c>
      <c r="AG24" t="s">
        <v>72</v>
      </c>
      <c r="AH24" s="55">
        <v>3869.42</v>
      </c>
      <c r="AI24">
        <v>309.55</v>
      </c>
      <c r="AJ24" s="49">
        <f t="shared" si="3"/>
        <v>0</v>
      </c>
      <c r="AK24" s="49">
        <f t="shared" si="4"/>
        <v>0</v>
      </c>
      <c r="AL24" t="s">
        <v>72</v>
      </c>
      <c r="AM24" s="81">
        <v>3869.42</v>
      </c>
      <c r="AN24" s="81">
        <v>352.91</v>
      </c>
      <c r="AO24" s="81">
        <v>0</v>
      </c>
      <c r="AP24" s="81">
        <v>0</v>
      </c>
    </row>
    <row r="25" spans="1:42" ht="15" customHeight="1">
      <c r="A25" s="38" t="s">
        <v>73</v>
      </c>
      <c r="B25" s="38" t="s">
        <v>68</v>
      </c>
      <c r="C25" s="38" t="s">
        <v>65</v>
      </c>
      <c r="D25" s="38" t="s">
        <v>66</v>
      </c>
      <c r="E25" s="39">
        <v>6768.67</v>
      </c>
      <c r="F25" s="39">
        <v>0</v>
      </c>
      <c r="G25" s="39">
        <v>0</v>
      </c>
      <c r="H25" s="40">
        <v>0</v>
      </c>
      <c r="I25" s="40">
        <v>0</v>
      </c>
      <c r="J25" s="40">
        <v>541.49</v>
      </c>
      <c r="K25" s="40">
        <v>0</v>
      </c>
      <c r="L25" s="40">
        <v>0</v>
      </c>
      <c r="M25" s="40">
        <v>0</v>
      </c>
      <c r="N25" s="40">
        <v>0</v>
      </c>
      <c r="O25" s="40">
        <v>6768.67</v>
      </c>
      <c r="P25" s="40">
        <v>0</v>
      </c>
      <c r="Q25" s="40">
        <v>0</v>
      </c>
      <c r="R25" s="40">
        <v>749.11</v>
      </c>
      <c r="S25" s="40">
        <v>0</v>
      </c>
      <c r="T25" s="40">
        <v>0</v>
      </c>
      <c r="U25" s="40">
        <v>0</v>
      </c>
      <c r="V25" s="40">
        <v>6768.67</v>
      </c>
      <c r="W25" s="40">
        <v>0</v>
      </c>
      <c r="X25" s="40">
        <v>669.24</v>
      </c>
      <c r="Y25" s="40">
        <v>0</v>
      </c>
      <c r="Z25" s="40">
        <v>0</v>
      </c>
      <c r="AA25" s="40">
        <v>251.65</v>
      </c>
      <c r="AB25" s="40">
        <v>1353.73</v>
      </c>
      <c r="AC25" s="40">
        <v>392.58</v>
      </c>
      <c r="AD25" s="40">
        <v>2747.08</v>
      </c>
      <c r="AE25" s="49">
        <f t="shared" si="1"/>
        <v>0</v>
      </c>
      <c r="AF25" s="49">
        <f t="shared" si="2"/>
        <v>0</v>
      </c>
      <c r="AG25" t="s">
        <v>366</v>
      </c>
      <c r="AH25" s="55">
        <v>6768.67</v>
      </c>
      <c r="AI25">
        <v>541.49</v>
      </c>
      <c r="AJ25" s="49">
        <f t="shared" si="3"/>
        <v>0</v>
      </c>
      <c r="AK25" s="49">
        <f t="shared" si="4"/>
        <v>0</v>
      </c>
      <c r="AL25" t="s">
        <v>366</v>
      </c>
      <c r="AM25" s="81">
        <v>6768.67</v>
      </c>
      <c r="AN25" s="81">
        <v>749.11</v>
      </c>
      <c r="AO25" s="81">
        <v>0</v>
      </c>
      <c r="AP25" s="81">
        <v>0</v>
      </c>
    </row>
    <row r="26" spans="1:42" ht="15" customHeight="1">
      <c r="A26" s="38" t="s">
        <v>74</v>
      </c>
      <c r="B26" s="38" t="s">
        <v>68</v>
      </c>
      <c r="C26" s="38" t="s">
        <v>65</v>
      </c>
      <c r="D26" s="38" t="s">
        <v>66</v>
      </c>
      <c r="E26" s="39">
        <v>5183.0600000000004</v>
      </c>
      <c r="F26" s="39">
        <v>0</v>
      </c>
      <c r="G26" s="39">
        <v>0</v>
      </c>
      <c r="H26" s="40">
        <v>0</v>
      </c>
      <c r="I26" s="40">
        <v>0</v>
      </c>
      <c r="J26" s="40">
        <v>414.64</v>
      </c>
      <c r="K26" s="40">
        <v>0</v>
      </c>
      <c r="L26" s="40">
        <v>0</v>
      </c>
      <c r="M26" s="40">
        <v>0</v>
      </c>
      <c r="N26" s="40">
        <v>0</v>
      </c>
      <c r="O26" s="40">
        <v>5183.0600000000004</v>
      </c>
      <c r="P26" s="40">
        <v>0</v>
      </c>
      <c r="Q26" s="40">
        <v>0</v>
      </c>
      <c r="R26" s="40">
        <v>527.13</v>
      </c>
      <c r="S26" s="40">
        <v>0</v>
      </c>
      <c r="T26" s="40">
        <v>0</v>
      </c>
      <c r="U26" s="40">
        <v>0</v>
      </c>
      <c r="V26" s="40">
        <v>5183.0600000000004</v>
      </c>
      <c r="W26" s="40">
        <v>0</v>
      </c>
      <c r="X26" s="40">
        <v>65.55</v>
      </c>
      <c r="Y26" s="40">
        <v>0</v>
      </c>
      <c r="Z26" s="40">
        <v>0</v>
      </c>
      <c r="AA26" s="40">
        <v>192.7</v>
      </c>
      <c r="AB26" s="40">
        <v>1036.6099999999999</v>
      </c>
      <c r="AC26" s="40">
        <v>300.62</v>
      </c>
      <c r="AD26" s="40">
        <v>2057.06</v>
      </c>
      <c r="AE26" s="49">
        <f t="shared" si="1"/>
        <v>0</v>
      </c>
      <c r="AF26" s="49">
        <f t="shared" si="2"/>
        <v>0</v>
      </c>
      <c r="AG26" t="s">
        <v>74</v>
      </c>
      <c r="AH26" s="55">
        <v>5183.0600000000004</v>
      </c>
      <c r="AI26">
        <v>414.64</v>
      </c>
      <c r="AJ26" s="49">
        <f t="shared" si="3"/>
        <v>0</v>
      </c>
      <c r="AK26" s="49">
        <f t="shared" si="4"/>
        <v>0</v>
      </c>
      <c r="AL26" t="s">
        <v>74</v>
      </c>
      <c r="AM26" s="81">
        <v>5183.0600000000004</v>
      </c>
      <c r="AN26" s="81">
        <v>527.13</v>
      </c>
      <c r="AO26" s="81">
        <v>0</v>
      </c>
      <c r="AP26" s="81">
        <v>0</v>
      </c>
    </row>
    <row r="27" spans="1:42" ht="15" customHeight="1">
      <c r="A27" s="38" t="s">
        <v>75</v>
      </c>
      <c r="B27" s="38" t="s">
        <v>68</v>
      </c>
      <c r="C27" s="38" t="s">
        <v>65</v>
      </c>
      <c r="D27" s="38" t="s">
        <v>66</v>
      </c>
      <c r="E27" s="39">
        <v>3984.86</v>
      </c>
      <c r="F27" s="39">
        <v>0</v>
      </c>
      <c r="G27" s="39">
        <v>0</v>
      </c>
      <c r="H27" s="40">
        <v>0</v>
      </c>
      <c r="I27" s="40">
        <v>0</v>
      </c>
      <c r="J27" s="40">
        <v>318.79000000000002</v>
      </c>
      <c r="K27" s="40">
        <v>0</v>
      </c>
      <c r="L27" s="40">
        <v>0</v>
      </c>
      <c r="M27" s="40">
        <v>0</v>
      </c>
      <c r="N27" s="40">
        <v>0</v>
      </c>
      <c r="O27" s="40">
        <v>3984.86</v>
      </c>
      <c r="P27" s="40">
        <v>0</v>
      </c>
      <c r="Q27" s="40">
        <v>0</v>
      </c>
      <c r="R27" s="40">
        <v>366.77</v>
      </c>
      <c r="S27" s="40">
        <v>0</v>
      </c>
      <c r="T27" s="40">
        <v>0</v>
      </c>
      <c r="U27" s="40">
        <v>0</v>
      </c>
      <c r="V27" s="40">
        <v>3984.86</v>
      </c>
      <c r="W27" s="40">
        <v>0</v>
      </c>
      <c r="X27" s="40">
        <v>0</v>
      </c>
      <c r="Y27" s="40">
        <v>0</v>
      </c>
      <c r="Z27" s="40">
        <v>0</v>
      </c>
      <c r="AA27" s="40">
        <v>148.15</v>
      </c>
      <c r="AB27" s="40">
        <v>796.97</v>
      </c>
      <c r="AC27" s="40">
        <v>231.12</v>
      </c>
      <c r="AD27" s="40">
        <v>1543.02</v>
      </c>
      <c r="AE27" s="49">
        <f t="shared" si="1"/>
        <v>0</v>
      </c>
      <c r="AF27" s="49">
        <f t="shared" si="2"/>
        <v>1.0000000000047748E-2</v>
      </c>
      <c r="AG27" t="s">
        <v>75</v>
      </c>
      <c r="AH27" s="55">
        <v>3984.86</v>
      </c>
      <c r="AI27">
        <v>318.77999999999997</v>
      </c>
      <c r="AJ27" s="49">
        <f t="shared" si="3"/>
        <v>0</v>
      </c>
      <c r="AK27" s="49">
        <f t="shared" si="4"/>
        <v>0</v>
      </c>
      <c r="AL27" t="s">
        <v>75</v>
      </c>
      <c r="AM27" s="81">
        <v>3984.86</v>
      </c>
      <c r="AN27" s="81">
        <v>366.77</v>
      </c>
      <c r="AO27" s="81">
        <v>0</v>
      </c>
      <c r="AP27" s="81">
        <v>0</v>
      </c>
    </row>
    <row r="28" spans="1:42" ht="15" customHeight="1">
      <c r="A28" s="38" t="s">
        <v>76</v>
      </c>
      <c r="B28" s="38" t="s">
        <v>68</v>
      </c>
      <c r="C28" s="38" t="s">
        <v>65</v>
      </c>
      <c r="D28" s="38" t="s">
        <v>66</v>
      </c>
      <c r="E28" s="39">
        <v>3045.47</v>
      </c>
      <c r="F28" s="39">
        <v>0</v>
      </c>
      <c r="G28" s="39">
        <v>0</v>
      </c>
      <c r="H28" s="40">
        <v>0</v>
      </c>
      <c r="I28" s="40">
        <v>0</v>
      </c>
      <c r="J28" s="40">
        <v>243.64</v>
      </c>
      <c r="K28" s="40">
        <v>0</v>
      </c>
      <c r="L28" s="40">
        <v>0</v>
      </c>
      <c r="M28" s="40">
        <v>0</v>
      </c>
      <c r="N28" s="40">
        <v>0</v>
      </c>
      <c r="O28" s="40">
        <v>3045.47</v>
      </c>
      <c r="P28" s="40">
        <v>0</v>
      </c>
      <c r="Q28" s="40">
        <v>0</v>
      </c>
      <c r="R28" s="40">
        <v>254.04</v>
      </c>
      <c r="S28" s="40">
        <v>0</v>
      </c>
      <c r="T28" s="40">
        <v>0</v>
      </c>
      <c r="U28" s="40">
        <v>0</v>
      </c>
      <c r="V28" s="40">
        <v>3045.47</v>
      </c>
      <c r="W28" s="40">
        <v>0</v>
      </c>
      <c r="X28" s="40">
        <v>0</v>
      </c>
      <c r="Y28" s="40">
        <v>0</v>
      </c>
      <c r="Z28" s="40">
        <v>0</v>
      </c>
      <c r="AA28" s="40">
        <v>113.23</v>
      </c>
      <c r="AB28" s="40">
        <v>609.09</v>
      </c>
      <c r="AC28" s="40">
        <v>176.64</v>
      </c>
      <c r="AD28" s="40">
        <v>1153</v>
      </c>
      <c r="AE28" s="49">
        <f t="shared" si="1"/>
        <v>0</v>
      </c>
      <c r="AF28" s="49">
        <f t="shared" si="2"/>
        <v>9.9999999999909051E-3</v>
      </c>
      <c r="AG28" t="s">
        <v>76</v>
      </c>
      <c r="AH28" s="55">
        <v>3045.47</v>
      </c>
      <c r="AI28">
        <v>243.63</v>
      </c>
      <c r="AJ28" s="49">
        <f t="shared" si="3"/>
        <v>0</v>
      </c>
      <c r="AK28" s="49">
        <f t="shared" si="4"/>
        <v>0</v>
      </c>
      <c r="AL28" t="s">
        <v>76</v>
      </c>
      <c r="AM28" s="81">
        <v>3045.47</v>
      </c>
      <c r="AN28" s="81">
        <v>254.04</v>
      </c>
      <c r="AO28" s="81">
        <v>0</v>
      </c>
      <c r="AP28" s="81">
        <v>0</v>
      </c>
    </row>
    <row r="29" spans="1:42" ht="15" customHeight="1">
      <c r="A29" s="38" t="s">
        <v>77</v>
      </c>
      <c r="B29" s="38" t="s">
        <v>78</v>
      </c>
      <c r="C29" s="38" t="s">
        <v>65</v>
      </c>
      <c r="D29" s="38" t="s">
        <v>65</v>
      </c>
      <c r="E29" s="39">
        <v>0</v>
      </c>
      <c r="F29" s="39">
        <v>0</v>
      </c>
      <c r="G29" s="39">
        <v>0</v>
      </c>
      <c r="H29" s="40">
        <v>0</v>
      </c>
      <c r="I29" s="40">
        <v>0</v>
      </c>
      <c r="J29" s="40">
        <v>0</v>
      </c>
      <c r="K29" s="40">
        <v>0</v>
      </c>
      <c r="L29" s="40">
        <v>0</v>
      </c>
      <c r="M29" s="40">
        <v>0</v>
      </c>
      <c r="N29" s="40">
        <v>0</v>
      </c>
      <c r="O29" s="40">
        <v>0</v>
      </c>
      <c r="P29" s="40">
        <v>0</v>
      </c>
      <c r="Q29" s="40">
        <v>1300</v>
      </c>
      <c r="R29" s="40">
        <v>0</v>
      </c>
      <c r="S29" s="40">
        <v>0</v>
      </c>
      <c r="T29" s="40">
        <v>0</v>
      </c>
      <c r="U29" s="40">
        <v>0</v>
      </c>
      <c r="V29" s="40">
        <v>1300</v>
      </c>
      <c r="W29" s="40">
        <v>0</v>
      </c>
      <c r="X29" s="40">
        <v>0</v>
      </c>
      <c r="Y29" s="40">
        <v>0</v>
      </c>
      <c r="Z29" s="40">
        <v>0</v>
      </c>
      <c r="AA29" s="40">
        <v>0</v>
      </c>
      <c r="AB29" s="40">
        <v>0</v>
      </c>
      <c r="AC29" s="40">
        <v>0</v>
      </c>
      <c r="AD29" s="40">
        <v>0</v>
      </c>
      <c r="AE29" s="49">
        <f t="shared" ref="AE29:AE31" si="5">(E29+F29+G29+H29+I29)-AH29</f>
        <v>0</v>
      </c>
      <c r="AF29" s="49">
        <f t="shared" ref="AF29:AF31" si="6">(J29+K29+L29+M29+N29)-AI29</f>
        <v>0</v>
      </c>
      <c r="AH29" s="55"/>
      <c r="AJ29" s="49">
        <f t="shared" si="3"/>
        <v>0</v>
      </c>
      <c r="AK29" s="49">
        <f t="shared" ref="AK29:AK42" si="7">(R29+S29+T29+U29)-(AN29+AP29)</f>
        <v>0</v>
      </c>
      <c r="AM29" s="81"/>
      <c r="AN29" s="81"/>
      <c r="AO29" s="81"/>
      <c r="AP29" s="81"/>
    </row>
    <row r="30" spans="1:42" ht="15" customHeight="1">
      <c r="A30" s="38" t="s">
        <v>79</v>
      </c>
      <c r="B30" s="38" t="s">
        <v>68</v>
      </c>
      <c r="C30" s="38" t="s">
        <v>65</v>
      </c>
      <c r="D30" s="38" t="s">
        <v>66</v>
      </c>
      <c r="E30" s="39">
        <v>6876.33</v>
      </c>
      <c r="F30" s="39">
        <v>0</v>
      </c>
      <c r="G30" s="39">
        <v>0</v>
      </c>
      <c r="H30" s="40">
        <v>0</v>
      </c>
      <c r="I30" s="40">
        <v>0</v>
      </c>
      <c r="J30" s="40">
        <v>550.11</v>
      </c>
      <c r="K30" s="40">
        <v>0</v>
      </c>
      <c r="L30" s="40">
        <v>0</v>
      </c>
      <c r="M30" s="40">
        <v>0</v>
      </c>
      <c r="N30" s="40">
        <v>0</v>
      </c>
      <c r="O30" s="40">
        <v>6876.33</v>
      </c>
      <c r="P30" s="40">
        <v>0</v>
      </c>
      <c r="Q30" s="40">
        <v>0</v>
      </c>
      <c r="R30" s="40">
        <v>764.18</v>
      </c>
      <c r="S30" s="40">
        <v>0</v>
      </c>
      <c r="T30" s="40">
        <v>0</v>
      </c>
      <c r="U30" s="40">
        <v>0</v>
      </c>
      <c r="V30" s="40">
        <v>6876.33</v>
      </c>
      <c r="W30" s="40">
        <v>0</v>
      </c>
      <c r="X30" s="40">
        <v>709.04</v>
      </c>
      <c r="Y30" s="40">
        <v>0</v>
      </c>
      <c r="Z30" s="40">
        <v>0</v>
      </c>
      <c r="AA30" s="40">
        <v>255.66</v>
      </c>
      <c r="AB30" s="40">
        <v>1375.27</v>
      </c>
      <c r="AC30" s="40">
        <v>398.83</v>
      </c>
      <c r="AD30" s="40">
        <v>2793.93</v>
      </c>
      <c r="AE30" s="49">
        <f t="shared" si="5"/>
        <v>0</v>
      </c>
      <c r="AF30" s="49">
        <f t="shared" si="6"/>
        <v>9.9999999999909051E-3</v>
      </c>
      <c r="AG30" t="s">
        <v>79</v>
      </c>
      <c r="AH30" s="55">
        <v>6876.33</v>
      </c>
      <c r="AI30">
        <v>550.1</v>
      </c>
      <c r="AJ30" s="49">
        <f t="shared" si="3"/>
        <v>0</v>
      </c>
      <c r="AK30" s="49">
        <f t="shared" si="7"/>
        <v>0</v>
      </c>
      <c r="AL30" t="s">
        <v>79</v>
      </c>
      <c r="AM30" s="81">
        <v>6876.33</v>
      </c>
      <c r="AN30" s="81">
        <v>764.18</v>
      </c>
      <c r="AO30" s="81">
        <v>0</v>
      </c>
      <c r="AP30" s="81">
        <v>0</v>
      </c>
    </row>
    <row r="31" spans="1:42" ht="15" customHeight="1">
      <c r="A31" s="38" t="s">
        <v>80</v>
      </c>
      <c r="B31" s="38" t="s">
        <v>68</v>
      </c>
      <c r="C31" s="38" t="s">
        <v>65</v>
      </c>
      <c r="D31" s="38" t="s">
        <v>66</v>
      </c>
      <c r="E31" s="39">
        <v>5730.19</v>
      </c>
      <c r="F31" s="39">
        <v>0</v>
      </c>
      <c r="G31" s="39">
        <v>0</v>
      </c>
      <c r="H31" s="40">
        <v>0</v>
      </c>
      <c r="I31" s="40">
        <v>0</v>
      </c>
      <c r="J31" s="40">
        <v>458.42</v>
      </c>
      <c r="K31" s="40">
        <v>0</v>
      </c>
      <c r="L31" s="40">
        <v>0</v>
      </c>
      <c r="M31" s="40">
        <v>0</v>
      </c>
      <c r="N31" s="40">
        <v>0</v>
      </c>
      <c r="O31" s="40">
        <v>5730.19</v>
      </c>
      <c r="P31" s="40">
        <v>0</v>
      </c>
      <c r="Q31" s="40">
        <v>0</v>
      </c>
      <c r="R31" s="40">
        <v>603.72</v>
      </c>
      <c r="S31" s="40">
        <v>0</v>
      </c>
      <c r="T31" s="40">
        <v>0</v>
      </c>
      <c r="U31" s="40">
        <v>0</v>
      </c>
      <c r="V31" s="40">
        <v>5730.19</v>
      </c>
      <c r="W31" s="40">
        <v>0</v>
      </c>
      <c r="X31" s="40">
        <v>284.41000000000003</v>
      </c>
      <c r="Y31" s="40">
        <v>0</v>
      </c>
      <c r="Z31" s="40">
        <v>0</v>
      </c>
      <c r="AA31" s="40">
        <v>213.04</v>
      </c>
      <c r="AB31" s="40">
        <v>1146.04</v>
      </c>
      <c r="AC31" s="40">
        <v>332.35</v>
      </c>
      <c r="AD31" s="40">
        <v>2295.15</v>
      </c>
      <c r="AE31" s="49">
        <f t="shared" si="5"/>
        <v>0</v>
      </c>
      <c r="AF31" s="49">
        <f t="shared" si="6"/>
        <v>9.9999999999909051E-3</v>
      </c>
      <c r="AG31" t="s">
        <v>80</v>
      </c>
      <c r="AH31" s="55">
        <v>5730.19</v>
      </c>
      <c r="AI31">
        <v>458.41</v>
      </c>
      <c r="AJ31" s="49">
        <f t="shared" si="3"/>
        <v>0</v>
      </c>
      <c r="AK31" s="49">
        <f t="shared" si="7"/>
        <v>0</v>
      </c>
      <c r="AL31" t="s">
        <v>80</v>
      </c>
      <c r="AM31" s="81">
        <v>5730.19</v>
      </c>
      <c r="AN31" s="81">
        <v>603.72</v>
      </c>
      <c r="AO31" s="81">
        <v>0</v>
      </c>
      <c r="AP31" s="81">
        <v>0</v>
      </c>
    </row>
    <row r="32" spans="1:42" ht="15" customHeight="1">
      <c r="A32" s="38" t="s">
        <v>81</v>
      </c>
      <c r="B32" s="38" t="s">
        <v>68</v>
      </c>
      <c r="C32" s="38" t="s">
        <v>82</v>
      </c>
      <c r="D32" s="38" t="s">
        <v>66</v>
      </c>
      <c r="E32" s="39">
        <v>576.08000000000004</v>
      </c>
      <c r="F32" s="39">
        <v>0</v>
      </c>
      <c r="G32" s="39">
        <v>0</v>
      </c>
      <c r="H32" s="40">
        <v>1801.08</v>
      </c>
      <c r="I32" s="40">
        <v>0</v>
      </c>
      <c r="J32" s="40">
        <v>46.09</v>
      </c>
      <c r="K32" s="40">
        <v>0</v>
      </c>
      <c r="L32" s="40">
        <v>0</v>
      </c>
      <c r="M32" s="40">
        <v>144.09</v>
      </c>
      <c r="N32" s="40">
        <v>0</v>
      </c>
      <c r="O32" s="40">
        <v>576.08000000000004</v>
      </c>
      <c r="P32" s="40">
        <v>1801.08</v>
      </c>
      <c r="Q32" s="40">
        <v>0</v>
      </c>
      <c r="R32" s="40">
        <v>43.2</v>
      </c>
      <c r="S32" s="40">
        <v>137.77000000000001</v>
      </c>
      <c r="T32" s="40">
        <v>0</v>
      </c>
      <c r="U32" s="40">
        <v>0</v>
      </c>
      <c r="V32" s="40">
        <v>576.08000000000004</v>
      </c>
      <c r="W32" s="40">
        <v>0</v>
      </c>
      <c r="X32" s="40">
        <v>0</v>
      </c>
      <c r="Y32" s="40">
        <v>0</v>
      </c>
      <c r="Z32" s="40">
        <v>0</v>
      </c>
      <c r="AA32" s="40">
        <v>88.38</v>
      </c>
      <c r="AB32" s="40">
        <v>475.43</v>
      </c>
      <c r="AC32" s="40">
        <v>137.88</v>
      </c>
      <c r="AD32" s="40">
        <v>882.66</v>
      </c>
      <c r="AE32" s="49">
        <f t="shared" ref="AE32:AE38" si="8">(E32+F32+G32+H32+I32)-AH32</f>
        <v>2377.16</v>
      </c>
      <c r="AF32" s="49">
        <f t="shared" ref="AF32:AF38" si="9">(J32+K32+L32+M32+N32)-AI32</f>
        <v>190.18</v>
      </c>
      <c r="AH32" s="55"/>
      <c r="AJ32" s="49">
        <f t="shared" si="3"/>
        <v>0</v>
      </c>
      <c r="AK32" s="49">
        <f t="shared" si="7"/>
        <v>0</v>
      </c>
      <c r="AL32" t="s">
        <v>81</v>
      </c>
      <c r="AM32" s="81">
        <v>576.08000000000004</v>
      </c>
      <c r="AN32" s="81">
        <v>43.2</v>
      </c>
      <c r="AO32" s="81">
        <v>1801.08</v>
      </c>
      <c r="AP32" s="81">
        <v>137.77000000000001</v>
      </c>
    </row>
    <row r="33" spans="1:42" ht="15" customHeight="1">
      <c r="A33" s="38" t="s">
        <v>83</v>
      </c>
      <c r="B33" s="38" t="s">
        <v>84</v>
      </c>
      <c r="C33" s="38" t="s">
        <v>65</v>
      </c>
      <c r="D33" s="38" t="s">
        <v>66</v>
      </c>
      <c r="E33" s="39">
        <v>784.67</v>
      </c>
      <c r="F33" s="39">
        <v>0</v>
      </c>
      <c r="G33" s="39">
        <v>0</v>
      </c>
      <c r="H33" s="40">
        <v>0</v>
      </c>
      <c r="I33" s="40">
        <v>0</v>
      </c>
      <c r="J33" s="40">
        <v>62.77</v>
      </c>
      <c r="K33" s="40">
        <v>0</v>
      </c>
      <c r="L33" s="40">
        <v>0</v>
      </c>
      <c r="M33" s="40">
        <v>0</v>
      </c>
      <c r="N33" s="40">
        <v>0</v>
      </c>
      <c r="O33" s="40">
        <v>784.67</v>
      </c>
      <c r="P33" s="40">
        <v>0</v>
      </c>
      <c r="Q33" s="40">
        <v>0</v>
      </c>
      <c r="R33" s="40">
        <v>58.85</v>
      </c>
      <c r="S33" s="40">
        <v>0</v>
      </c>
      <c r="T33" s="40">
        <v>0</v>
      </c>
      <c r="U33" s="40">
        <v>0</v>
      </c>
      <c r="V33" s="40">
        <v>784.67</v>
      </c>
      <c r="W33" s="40">
        <v>0</v>
      </c>
      <c r="X33" s="40">
        <v>0</v>
      </c>
      <c r="Y33" s="40">
        <v>0</v>
      </c>
      <c r="Z33" s="40">
        <v>0</v>
      </c>
      <c r="AA33" s="40">
        <v>29.17</v>
      </c>
      <c r="AB33" s="40">
        <v>156.93</v>
      </c>
      <c r="AC33" s="40">
        <v>45.51</v>
      </c>
      <c r="AD33" s="40">
        <v>290.47000000000003</v>
      </c>
      <c r="AE33" s="49">
        <f t="shared" si="8"/>
        <v>0</v>
      </c>
      <c r="AF33" s="49">
        <f t="shared" si="9"/>
        <v>0</v>
      </c>
      <c r="AG33" t="s">
        <v>83</v>
      </c>
      <c r="AH33">
        <v>784.67</v>
      </c>
      <c r="AI33">
        <v>62.77</v>
      </c>
      <c r="AJ33" s="49">
        <f t="shared" si="3"/>
        <v>0</v>
      </c>
      <c r="AK33" s="49">
        <f t="shared" si="7"/>
        <v>0</v>
      </c>
      <c r="AL33" t="s">
        <v>83</v>
      </c>
      <c r="AM33" s="81">
        <v>784.67</v>
      </c>
      <c r="AN33" s="81">
        <v>58.85</v>
      </c>
      <c r="AO33" s="81">
        <v>0</v>
      </c>
      <c r="AP33" s="81">
        <v>0</v>
      </c>
    </row>
    <row r="34" spans="1:42" ht="15" customHeight="1">
      <c r="A34" s="38" t="s">
        <v>85</v>
      </c>
      <c r="B34" s="38" t="s">
        <v>64</v>
      </c>
      <c r="C34" s="38" t="s">
        <v>65</v>
      </c>
      <c r="D34" s="38" t="s">
        <v>66</v>
      </c>
      <c r="E34" s="39">
        <v>2839.05</v>
      </c>
      <c r="F34" s="39">
        <v>0</v>
      </c>
      <c r="G34" s="39">
        <v>0</v>
      </c>
      <c r="H34" s="40">
        <v>0</v>
      </c>
      <c r="I34" s="40">
        <v>0</v>
      </c>
      <c r="J34" s="40">
        <v>227.12</v>
      </c>
      <c r="K34" s="40">
        <v>0</v>
      </c>
      <c r="L34" s="40">
        <v>0</v>
      </c>
      <c r="M34" s="40">
        <v>0</v>
      </c>
      <c r="N34" s="40">
        <v>0</v>
      </c>
      <c r="O34" s="40">
        <v>2839.05</v>
      </c>
      <c r="P34" s="40">
        <v>0</v>
      </c>
      <c r="Q34" s="40">
        <v>0</v>
      </c>
      <c r="R34" s="40">
        <v>231.19</v>
      </c>
      <c r="S34" s="40">
        <v>0</v>
      </c>
      <c r="T34" s="40">
        <v>0</v>
      </c>
      <c r="U34" s="40">
        <v>0</v>
      </c>
      <c r="V34" s="40">
        <v>2839.05</v>
      </c>
      <c r="W34" s="40">
        <v>0</v>
      </c>
      <c r="X34" s="40">
        <v>0</v>
      </c>
      <c r="Y34" s="40">
        <v>0</v>
      </c>
      <c r="Z34" s="40">
        <v>0</v>
      </c>
      <c r="AA34" s="40">
        <v>105.55</v>
      </c>
      <c r="AB34" s="40">
        <v>567.80999999999995</v>
      </c>
      <c r="AC34" s="40">
        <v>164.66</v>
      </c>
      <c r="AD34" s="40">
        <v>1069.22</v>
      </c>
      <c r="AE34" s="49">
        <f t="shared" si="8"/>
        <v>0</v>
      </c>
      <c r="AF34" s="49">
        <f t="shared" si="9"/>
        <v>0</v>
      </c>
      <c r="AG34" t="s">
        <v>85</v>
      </c>
      <c r="AH34" s="55">
        <v>2839.05</v>
      </c>
      <c r="AI34">
        <v>227.12</v>
      </c>
      <c r="AJ34" s="49">
        <f t="shared" si="3"/>
        <v>0</v>
      </c>
      <c r="AK34" s="49">
        <f t="shared" si="7"/>
        <v>0</v>
      </c>
      <c r="AL34" t="s">
        <v>85</v>
      </c>
      <c r="AM34" s="81">
        <v>2839.05</v>
      </c>
      <c r="AN34" s="81">
        <v>231.19</v>
      </c>
      <c r="AO34" s="81">
        <v>0</v>
      </c>
      <c r="AP34" s="81">
        <v>0</v>
      </c>
    </row>
    <row r="35" spans="1:42" ht="15" customHeight="1">
      <c r="A35" s="38" t="s">
        <v>86</v>
      </c>
      <c r="B35" s="38" t="s">
        <v>87</v>
      </c>
      <c r="C35" s="38" t="s">
        <v>65</v>
      </c>
      <c r="D35" s="38" t="s">
        <v>66</v>
      </c>
      <c r="E35" s="39">
        <v>2945.87</v>
      </c>
      <c r="F35" s="39">
        <v>0</v>
      </c>
      <c r="G35" s="39">
        <v>0</v>
      </c>
      <c r="H35" s="40">
        <v>0</v>
      </c>
      <c r="I35" s="40">
        <v>0</v>
      </c>
      <c r="J35" s="40">
        <v>235.67</v>
      </c>
      <c r="K35" s="40">
        <v>0</v>
      </c>
      <c r="L35" s="40">
        <v>0</v>
      </c>
      <c r="M35" s="40">
        <v>0</v>
      </c>
      <c r="N35" s="40">
        <v>0</v>
      </c>
      <c r="O35" s="40">
        <v>2945.87</v>
      </c>
      <c r="P35" s="40">
        <v>0</v>
      </c>
      <c r="Q35" s="40">
        <v>0</v>
      </c>
      <c r="R35" s="40">
        <v>242.09</v>
      </c>
      <c r="S35" s="40">
        <v>0</v>
      </c>
      <c r="T35" s="40">
        <v>0</v>
      </c>
      <c r="U35" s="40">
        <v>0</v>
      </c>
      <c r="V35" s="40">
        <v>2945.87</v>
      </c>
      <c r="W35" s="40">
        <v>0</v>
      </c>
      <c r="X35" s="40">
        <v>0</v>
      </c>
      <c r="Y35" s="40">
        <v>0</v>
      </c>
      <c r="Z35" s="40">
        <v>0</v>
      </c>
      <c r="AA35" s="40">
        <v>109.52</v>
      </c>
      <c r="AB35" s="40">
        <v>589.16999999999996</v>
      </c>
      <c r="AC35" s="40">
        <v>170.86</v>
      </c>
      <c r="AD35" s="40">
        <v>1111.6500000000001</v>
      </c>
      <c r="AE35" s="49">
        <f t="shared" si="8"/>
        <v>0</v>
      </c>
      <c r="AF35" s="49">
        <f t="shared" si="9"/>
        <v>9.9999999999909051E-3</v>
      </c>
      <c r="AG35" t="s">
        <v>367</v>
      </c>
      <c r="AH35" s="55">
        <v>2945.87</v>
      </c>
      <c r="AI35">
        <v>235.66</v>
      </c>
      <c r="AJ35" s="49">
        <f t="shared" si="3"/>
        <v>0</v>
      </c>
      <c r="AK35" s="49">
        <f t="shared" si="7"/>
        <v>0</v>
      </c>
      <c r="AL35" t="s">
        <v>367</v>
      </c>
      <c r="AM35" s="81">
        <v>2945.87</v>
      </c>
      <c r="AN35" s="81">
        <v>242.09</v>
      </c>
      <c r="AO35" s="81">
        <v>0</v>
      </c>
      <c r="AP35" s="81">
        <v>0</v>
      </c>
    </row>
    <row r="36" spans="1:42" ht="15" customHeight="1">
      <c r="A36" s="38" t="s">
        <v>88</v>
      </c>
      <c r="B36" s="38" t="s">
        <v>68</v>
      </c>
      <c r="C36" s="38" t="s">
        <v>65</v>
      </c>
      <c r="D36" s="38" t="s">
        <v>66</v>
      </c>
      <c r="E36" s="39">
        <v>3571.75</v>
      </c>
      <c r="F36" s="39">
        <v>0</v>
      </c>
      <c r="G36" s="39">
        <v>0</v>
      </c>
      <c r="H36" s="40">
        <v>0</v>
      </c>
      <c r="I36" s="40">
        <v>0</v>
      </c>
      <c r="J36" s="40">
        <v>285.74</v>
      </c>
      <c r="K36" s="40">
        <v>0</v>
      </c>
      <c r="L36" s="40">
        <v>0</v>
      </c>
      <c r="M36" s="40">
        <v>0</v>
      </c>
      <c r="N36" s="40">
        <v>0</v>
      </c>
      <c r="O36" s="40">
        <v>3571.75</v>
      </c>
      <c r="P36" s="40">
        <v>0</v>
      </c>
      <c r="Q36" s="40">
        <v>0</v>
      </c>
      <c r="R36" s="40">
        <v>317.19</v>
      </c>
      <c r="S36" s="40">
        <v>0</v>
      </c>
      <c r="T36" s="40">
        <v>0</v>
      </c>
      <c r="U36" s="40">
        <v>0</v>
      </c>
      <c r="V36" s="40">
        <v>3571.75</v>
      </c>
      <c r="W36" s="40">
        <v>0</v>
      </c>
      <c r="X36" s="40">
        <v>0</v>
      </c>
      <c r="Y36" s="40">
        <v>0</v>
      </c>
      <c r="Z36" s="40">
        <v>0</v>
      </c>
      <c r="AA36" s="40">
        <v>132.79</v>
      </c>
      <c r="AB36" s="40">
        <v>714.35</v>
      </c>
      <c r="AC36" s="40">
        <v>207.16</v>
      </c>
      <c r="AD36" s="40">
        <v>1371.5</v>
      </c>
      <c r="AE36" s="49">
        <f t="shared" si="8"/>
        <v>0</v>
      </c>
      <c r="AF36" s="49">
        <f t="shared" si="9"/>
        <v>0</v>
      </c>
      <c r="AG36" t="s">
        <v>88</v>
      </c>
      <c r="AH36" s="55">
        <v>3571.75</v>
      </c>
      <c r="AI36">
        <v>285.74</v>
      </c>
      <c r="AJ36" s="49">
        <f t="shared" si="3"/>
        <v>0</v>
      </c>
      <c r="AK36" s="49">
        <f t="shared" si="7"/>
        <v>0</v>
      </c>
      <c r="AL36" t="s">
        <v>88</v>
      </c>
      <c r="AM36" s="81">
        <v>3571.75</v>
      </c>
      <c r="AN36" s="81">
        <v>317.19</v>
      </c>
      <c r="AO36" s="81">
        <v>0</v>
      </c>
      <c r="AP36" s="81">
        <v>0</v>
      </c>
    </row>
    <row r="37" spans="1:42" ht="15" customHeight="1">
      <c r="A37" s="38" t="s">
        <v>89</v>
      </c>
      <c r="B37" s="38" t="s">
        <v>68</v>
      </c>
      <c r="C37" s="38" t="s">
        <v>65</v>
      </c>
      <c r="D37" s="38" t="s">
        <v>66</v>
      </c>
      <c r="E37" s="39">
        <v>6411.17</v>
      </c>
      <c r="F37" s="39">
        <v>0</v>
      </c>
      <c r="G37" s="39">
        <v>0</v>
      </c>
      <c r="H37" s="40">
        <v>0</v>
      </c>
      <c r="I37" s="40">
        <v>0</v>
      </c>
      <c r="J37" s="40">
        <v>512.89</v>
      </c>
      <c r="K37" s="40">
        <v>0</v>
      </c>
      <c r="L37" s="40">
        <v>0</v>
      </c>
      <c r="M37" s="40">
        <v>0</v>
      </c>
      <c r="N37" s="40">
        <v>0</v>
      </c>
      <c r="O37" s="40">
        <v>6411.17</v>
      </c>
      <c r="P37" s="40">
        <v>0</v>
      </c>
      <c r="Q37" s="40">
        <v>0</v>
      </c>
      <c r="R37" s="40">
        <v>699.06</v>
      </c>
      <c r="S37" s="40">
        <v>0</v>
      </c>
      <c r="T37" s="40">
        <v>0</v>
      </c>
      <c r="U37" s="40">
        <v>0</v>
      </c>
      <c r="V37" s="40">
        <v>6411.17</v>
      </c>
      <c r="W37" s="40">
        <v>0</v>
      </c>
      <c r="X37" s="40">
        <v>537.09</v>
      </c>
      <c r="Y37" s="40">
        <v>0</v>
      </c>
      <c r="Z37" s="40">
        <v>0</v>
      </c>
      <c r="AA37" s="40">
        <v>238.36</v>
      </c>
      <c r="AB37" s="40">
        <v>1282.23</v>
      </c>
      <c r="AC37" s="40">
        <v>371.85</v>
      </c>
      <c r="AD37" s="40">
        <v>2591.5</v>
      </c>
      <c r="AE37" s="49">
        <f t="shared" si="8"/>
        <v>0</v>
      </c>
      <c r="AF37" s="49">
        <f t="shared" si="9"/>
        <v>0</v>
      </c>
      <c r="AG37" t="s">
        <v>89</v>
      </c>
      <c r="AH37" s="55">
        <v>6411.17</v>
      </c>
      <c r="AI37">
        <v>512.89</v>
      </c>
      <c r="AJ37" s="49">
        <f t="shared" si="3"/>
        <v>0</v>
      </c>
      <c r="AK37" s="49">
        <f t="shared" si="7"/>
        <v>0</v>
      </c>
      <c r="AL37" t="s">
        <v>89</v>
      </c>
      <c r="AM37" s="81">
        <v>6411.17</v>
      </c>
      <c r="AN37" s="81">
        <v>699.06</v>
      </c>
      <c r="AO37" s="81">
        <v>0</v>
      </c>
      <c r="AP37" s="81">
        <v>0</v>
      </c>
    </row>
    <row r="38" spans="1:42" ht="15" customHeight="1">
      <c r="A38" s="38" t="s">
        <v>90</v>
      </c>
      <c r="B38" s="38" t="s">
        <v>68</v>
      </c>
      <c r="C38" s="38" t="s">
        <v>65</v>
      </c>
      <c r="D38" s="38" t="s">
        <v>66</v>
      </c>
      <c r="E38" s="39">
        <v>3437.75</v>
      </c>
      <c r="F38" s="39">
        <v>0</v>
      </c>
      <c r="G38" s="39">
        <v>0</v>
      </c>
      <c r="H38" s="40">
        <v>0</v>
      </c>
      <c r="I38" s="40">
        <v>0</v>
      </c>
      <c r="J38" s="40">
        <v>275.02</v>
      </c>
      <c r="K38" s="40">
        <v>0</v>
      </c>
      <c r="L38" s="40">
        <v>0</v>
      </c>
      <c r="M38" s="40">
        <v>0</v>
      </c>
      <c r="N38" s="40">
        <v>0</v>
      </c>
      <c r="O38" s="40">
        <v>3437.75</v>
      </c>
      <c r="P38" s="40">
        <v>0</v>
      </c>
      <c r="Q38" s="40">
        <v>0</v>
      </c>
      <c r="R38" s="40">
        <v>301.11</v>
      </c>
      <c r="S38" s="40">
        <v>0</v>
      </c>
      <c r="T38" s="40">
        <v>0</v>
      </c>
      <c r="U38" s="40">
        <v>0</v>
      </c>
      <c r="V38" s="40">
        <v>3437.75</v>
      </c>
      <c r="W38" s="40">
        <v>0</v>
      </c>
      <c r="X38" s="40">
        <v>0</v>
      </c>
      <c r="Y38" s="40">
        <v>0</v>
      </c>
      <c r="Z38" s="40">
        <v>0</v>
      </c>
      <c r="AA38" s="40">
        <v>127.81</v>
      </c>
      <c r="AB38" s="40">
        <v>687.55</v>
      </c>
      <c r="AC38" s="40">
        <v>199.39</v>
      </c>
      <c r="AD38" s="40">
        <v>1315.86</v>
      </c>
      <c r="AE38" s="49">
        <f t="shared" si="8"/>
        <v>0</v>
      </c>
      <c r="AF38" s="49">
        <f t="shared" si="9"/>
        <v>0</v>
      </c>
      <c r="AG38" t="s">
        <v>90</v>
      </c>
      <c r="AH38" s="55">
        <v>3437.75</v>
      </c>
      <c r="AI38">
        <v>275.02</v>
      </c>
      <c r="AJ38" s="49">
        <f t="shared" si="3"/>
        <v>0</v>
      </c>
      <c r="AK38" s="49">
        <f t="shared" si="7"/>
        <v>0</v>
      </c>
      <c r="AL38" t="s">
        <v>90</v>
      </c>
      <c r="AM38" s="81">
        <v>3437.75</v>
      </c>
      <c r="AN38" s="81">
        <v>301.11</v>
      </c>
      <c r="AO38" s="81">
        <v>0</v>
      </c>
      <c r="AP38" s="81">
        <v>0</v>
      </c>
    </row>
    <row r="39" spans="1:42" ht="15" customHeight="1">
      <c r="A39" s="38" t="s">
        <v>91</v>
      </c>
      <c r="B39" s="38" t="s">
        <v>92</v>
      </c>
      <c r="C39" s="38" t="s">
        <v>82</v>
      </c>
      <c r="D39" s="38" t="s">
        <v>66</v>
      </c>
      <c r="E39" s="39">
        <v>5834.26</v>
      </c>
      <c r="F39" s="39">
        <v>5161.33</v>
      </c>
      <c r="G39" s="39">
        <v>367.38</v>
      </c>
      <c r="H39" s="40">
        <v>1836.9</v>
      </c>
      <c r="I39" s="40">
        <v>0</v>
      </c>
      <c r="J39" s="40">
        <v>466.74</v>
      </c>
      <c r="K39" s="40">
        <v>412.91</v>
      </c>
      <c r="L39" s="40">
        <v>29.39</v>
      </c>
      <c r="M39" s="40">
        <v>146.94999999999999</v>
      </c>
      <c r="N39" s="40">
        <v>0</v>
      </c>
      <c r="O39" s="40">
        <v>5834.26</v>
      </c>
      <c r="P39" s="40">
        <v>2204.2800000000002</v>
      </c>
      <c r="Q39" s="40">
        <v>0</v>
      </c>
      <c r="R39" s="40">
        <v>618.29</v>
      </c>
      <c r="S39" s="40">
        <v>174.06</v>
      </c>
      <c r="T39" s="40">
        <v>0</v>
      </c>
      <c r="U39" s="40">
        <v>0</v>
      </c>
      <c r="V39" s="40">
        <v>5834.26</v>
      </c>
      <c r="W39" s="40">
        <v>0</v>
      </c>
      <c r="X39" s="40">
        <v>323.83999999999997</v>
      </c>
      <c r="Y39" s="40">
        <v>0</v>
      </c>
      <c r="Z39" s="40">
        <v>0</v>
      </c>
      <c r="AA39" s="40">
        <v>298.86</v>
      </c>
      <c r="AB39" s="40">
        <v>1607.71</v>
      </c>
      <c r="AC39" s="40">
        <v>466.24</v>
      </c>
      <c r="AD39" s="40">
        <v>3165.16</v>
      </c>
      <c r="AE39" s="49">
        <f t="shared" ref="AE39:AE42" si="10">(E39+F39+G39+H39+I39)-AH39</f>
        <v>13199.869999999999</v>
      </c>
      <c r="AF39" s="49">
        <f t="shared" ref="AF39:AF42" si="11">(J39+K39+L39+M39+N39)-AI39</f>
        <v>1055.99</v>
      </c>
      <c r="AH39" s="55"/>
      <c r="AJ39" s="49">
        <f t="shared" si="3"/>
        <v>0</v>
      </c>
      <c r="AK39" s="49">
        <f t="shared" si="7"/>
        <v>0</v>
      </c>
      <c r="AL39" t="s">
        <v>91</v>
      </c>
      <c r="AM39" s="81">
        <v>5834.26</v>
      </c>
      <c r="AN39" s="81">
        <v>618.29</v>
      </c>
      <c r="AO39" s="81">
        <v>2204.2800000000002</v>
      </c>
      <c r="AP39" s="81">
        <v>174.06</v>
      </c>
    </row>
    <row r="40" spans="1:42" ht="15" customHeight="1">
      <c r="A40" s="38" t="s">
        <v>93</v>
      </c>
      <c r="B40" s="38" t="s">
        <v>68</v>
      </c>
      <c r="C40" s="38" t="s">
        <v>65</v>
      </c>
      <c r="D40" s="38" t="s">
        <v>66</v>
      </c>
      <c r="E40" s="39">
        <v>3781.66</v>
      </c>
      <c r="F40" s="39">
        <v>0</v>
      </c>
      <c r="G40" s="39">
        <v>0</v>
      </c>
      <c r="H40" s="40">
        <v>0</v>
      </c>
      <c r="I40" s="40">
        <v>0</v>
      </c>
      <c r="J40" s="40">
        <v>302.52999999999997</v>
      </c>
      <c r="K40" s="40">
        <v>0</v>
      </c>
      <c r="L40" s="40">
        <v>0</v>
      </c>
      <c r="M40" s="40">
        <v>0</v>
      </c>
      <c r="N40" s="40">
        <v>0</v>
      </c>
      <c r="O40" s="40">
        <v>3781.66</v>
      </c>
      <c r="P40" s="40">
        <v>0</v>
      </c>
      <c r="Q40" s="40">
        <v>0</v>
      </c>
      <c r="R40" s="40">
        <v>342.38</v>
      </c>
      <c r="S40" s="40">
        <v>0</v>
      </c>
      <c r="T40" s="40">
        <v>0</v>
      </c>
      <c r="U40" s="40">
        <v>0</v>
      </c>
      <c r="V40" s="40">
        <v>3781.66</v>
      </c>
      <c r="W40" s="40">
        <v>0</v>
      </c>
      <c r="X40" s="40">
        <v>0</v>
      </c>
      <c r="Y40" s="40">
        <v>0</v>
      </c>
      <c r="Z40" s="40">
        <v>0</v>
      </c>
      <c r="AA40" s="40">
        <v>140.6</v>
      </c>
      <c r="AB40" s="40">
        <v>756.33</v>
      </c>
      <c r="AC40" s="40">
        <v>219.34</v>
      </c>
      <c r="AD40" s="40">
        <v>1458.65</v>
      </c>
      <c r="AE40" s="49">
        <f t="shared" si="10"/>
        <v>0</v>
      </c>
      <c r="AF40" s="49">
        <f t="shared" si="11"/>
        <v>0</v>
      </c>
      <c r="AG40" t="s">
        <v>93</v>
      </c>
      <c r="AH40" s="55">
        <v>3781.66</v>
      </c>
      <c r="AI40">
        <v>302.52999999999997</v>
      </c>
      <c r="AJ40" s="49">
        <f t="shared" si="3"/>
        <v>0</v>
      </c>
      <c r="AK40" s="49">
        <f t="shared" si="7"/>
        <v>0</v>
      </c>
      <c r="AL40" t="s">
        <v>93</v>
      </c>
      <c r="AM40" s="81">
        <v>3781.66</v>
      </c>
      <c r="AN40" s="81">
        <v>342.38</v>
      </c>
      <c r="AO40" s="81">
        <v>0</v>
      </c>
      <c r="AP40" s="81">
        <v>0</v>
      </c>
    </row>
    <row r="41" spans="1:42" ht="15" customHeight="1">
      <c r="A41" s="38" t="s">
        <v>94</v>
      </c>
      <c r="B41" s="38" t="s">
        <v>68</v>
      </c>
      <c r="C41" s="38" t="s">
        <v>65</v>
      </c>
      <c r="D41" s="38" t="s">
        <v>66</v>
      </c>
      <c r="E41" s="39">
        <v>3396.76</v>
      </c>
      <c r="F41" s="39">
        <v>0</v>
      </c>
      <c r="G41" s="39">
        <v>0</v>
      </c>
      <c r="H41" s="40">
        <v>0</v>
      </c>
      <c r="I41" s="40">
        <v>0</v>
      </c>
      <c r="J41" s="40">
        <v>271.74</v>
      </c>
      <c r="K41" s="40">
        <v>0</v>
      </c>
      <c r="L41" s="40">
        <v>0</v>
      </c>
      <c r="M41" s="40">
        <v>0</v>
      </c>
      <c r="N41" s="40">
        <v>0</v>
      </c>
      <c r="O41" s="40">
        <v>3396.76</v>
      </c>
      <c r="P41" s="40">
        <v>0</v>
      </c>
      <c r="Q41" s="40">
        <v>0</v>
      </c>
      <c r="R41" s="40">
        <v>296.2</v>
      </c>
      <c r="S41" s="40">
        <v>0</v>
      </c>
      <c r="T41" s="40">
        <v>0</v>
      </c>
      <c r="U41" s="40">
        <v>0</v>
      </c>
      <c r="V41" s="40">
        <v>3396.76</v>
      </c>
      <c r="W41" s="40">
        <v>0</v>
      </c>
      <c r="X41" s="40">
        <v>0</v>
      </c>
      <c r="Y41" s="40">
        <v>0</v>
      </c>
      <c r="Z41" s="40">
        <v>0</v>
      </c>
      <c r="AA41" s="40">
        <v>126.29</v>
      </c>
      <c r="AB41" s="40">
        <v>679.35</v>
      </c>
      <c r="AC41" s="40">
        <v>197.01</v>
      </c>
      <c r="AD41" s="40">
        <v>1298.8499999999999</v>
      </c>
      <c r="AE41" s="49">
        <f t="shared" si="10"/>
        <v>0</v>
      </c>
      <c r="AF41" s="49">
        <f t="shared" si="11"/>
        <v>0</v>
      </c>
      <c r="AG41" t="s">
        <v>94</v>
      </c>
      <c r="AH41" s="55">
        <v>3396.76</v>
      </c>
      <c r="AI41">
        <v>271.74</v>
      </c>
      <c r="AJ41" s="49">
        <f t="shared" si="3"/>
        <v>0</v>
      </c>
      <c r="AK41" s="49">
        <f t="shared" si="7"/>
        <v>0</v>
      </c>
      <c r="AL41" t="s">
        <v>94</v>
      </c>
      <c r="AM41" s="81">
        <v>3396.76</v>
      </c>
      <c r="AN41" s="81">
        <v>296.2</v>
      </c>
      <c r="AO41" s="81">
        <v>0</v>
      </c>
      <c r="AP41" s="81">
        <v>0</v>
      </c>
    </row>
    <row r="42" spans="1:42" ht="15" customHeight="1">
      <c r="A42" s="38" t="s">
        <v>95</v>
      </c>
      <c r="B42" s="38" t="s">
        <v>96</v>
      </c>
      <c r="C42" s="38" t="s">
        <v>65</v>
      </c>
      <c r="D42" s="38" t="s">
        <v>66</v>
      </c>
      <c r="E42" s="39">
        <v>3169.1</v>
      </c>
      <c r="F42" s="39">
        <v>0</v>
      </c>
      <c r="G42" s="39">
        <v>0</v>
      </c>
      <c r="H42" s="40">
        <v>0</v>
      </c>
      <c r="I42" s="40">
        <v>0</v>
      </c>
      <c r="J42" s="40">
        <v>253.53</v>
      </c>
      <c r="K42" s="40">
        <v>0</v>
      </c>
      <c r="L42" s="40">
        <v>0</v>
      </c>
      <c r="M42" s="40">
        <v>0</v>
      </c>
      <c r="N42" s="40">
        <v>0</v>
      </c>
      <c r="O42" s="40">
        <v>3169.1</v>
      </c>
      <c r="P42" s="40">
        <v>0</v>
      </c>
      <c r="Q42" s="40">
        <v>0</v>
      </c>
      <c r="R42" s="40">
        <v>268.88</v>
      </c>
      <c r="S42" s="40">
        <v>0</v>
      </c>
      <c r="T42" s="40">
        <v>0</v>
      </c>
      <c r="U42" s="40">
        <v>0</v>
      </c>
      <c r="V42" s="40">
        <v>3169.1</v>
      </c>
      <c r="W42" s="40">
        <v>0</v>
      </c>
      <c r="X42" s="40">
        <v>0</v>
      </c>
      <c r="Y42" s="40">
        <v>0</v>
      </c>
      <c r="Z42" s="40">
        <v>0</v>
      </c>
      <c r="AA42" s="40">
        <v>117.82</v>
      </c>
      <c r="AB42" s="40">
        <v>633.82000000000005</v>
      </c>
      <c r="AC42" s="40">
        <v>183.81</v>
      </c>
      <c r="AD42" s="40">
        <v>1204.33</v>
      </c>
      <c r="AE42" s="49">
        <f t="shared" si="10"/>
        <v>0</v>
      </c>
      <c r="AF42" s="49">
        <f t="shared" si="11"/>
        <v>9.9999999999909051E-3</v>
      </c>
      <c r="AG42" t="s">
        <v>95</v>
      </c>
      <c r="AH42" s="55">
        <v>3169.1</v>
      </c>
      <c r="AI42">
        <v>253.52</v>
      </c>
      <c r="AJ42" s="49">
        <f t="shared" si="3"/>
        <v>0</v>
      </c>
      <c r="AK42" s="49">
        <f t="shared" si="7"/>
        <v>0</v>
      </c>
      <c r="AL42" t="s">
        <v>95</v>
      </c>
      <c r="AM42" s="81">
        <v>3169.1</v>
      </c>
      <c r="AN42" s="81">
        <v>268.88</v>
      </c>
      <c r="AO42" s="81">
        <v>0</v>
      </c>
      <c r="AP42" s="81">
        <v>0</v>
      </c>
    </row>
    <row r="43" spans="1:42" ht="15" customHeight="1">
      <c r="A43" s="38" t="s">
        <v>97</v>
      </c>
      <c r="B43" s="38" t="s">
        <v>98</v>
      </c>
      <c r="C43" s="38" t="s">
        <v>99</v>
      </c>
      <c r="D43" s="38" t="s">
        <v>66</v>
      </c>
      <c r="E43" s="39">
        <v>0</v>
      </c>
      <c r="F43" s="39">
        <v>0</v>
      </c>
      <c r="G43" s="39">
        <v>0</v>
      </c>
      <c r="H43" s="40">
        <v>0</v>
      </c>
      <c r="I43" s="40">
        <v>0</v>
      </c>
      <c r="J43" s="40">
        <v>0</v>
      </c>
      <c r="K43" s="40">
        <v>0</v>
      </c>
      <c r="L43" s="40">
        <v>0</v>
      </c>
      <c r="M43" s="40">
        <v>0</v>
      </c>
      <c r="N43" s="40">
        <v>0</v>
      </c>
      <c r="O43" s="40">
        <v>0</v>
      </c>
      <c r="P43" s="40">
        <v>0</v>
      </c>
      <c r="Q43" s="40">
        <v>0</v>
      </c>
      <c r="R43" s="40">
        <v>0</v>
      </c>
      <c r="S43" s="40">
        <v>0</v>
      </c>
      <c r="T43" s="40">
        <v>0</v>
      </c>
      <c r="U43" s="40">
        <v>0</v>
      </c>
      <c r="V43" s="40">
        <v>0</v>
      </c>
      <c r="W43" s="40">
        <v>0</v>
      </c>
      <c r="X43" s="40">
        <v>0</v>
      </c>
      <c r="Y43" s="40">
        <v>0</v>
      </c>
      <c r="Z43" s="40">
        <v>0</v>
      </c>
      <c r="AA43" s="40">
        <v>0</v>
      </c>
      <c r="AB43" s="40">
        <v>0</v>
      </c>
      <c r="AC43" s="40">
        <v>0</v>
      </c>
      <c r="AD43" s="40">
        <v>0</v>
      </c>
      <c r="AE43" s="49">
        <f t="shared" ref="AE43:AE47" si="12">(E43+F43+G43+H43+I43)-AH43</f>
        <v>0</v>
      </c>
      <c r="AF43" s="49">
        <f t="shared" ref="AF43:AF47" si="13">(J43+K43+L43+M43+N43)-AI43</f>
        <v>0</v>
      </c>
      <c r="AH43" s="55"/>
      <c r="AJ43" s="49">
        <f t="shared" ref="AJ43:AJ100" si="14">(O43+P43)-(AM43+AO43)</f>
        <v>0</v>
      </c>
      <c r="AK43" s="49">
        <f t="shared" ref="AK43:AK100" si="15">(R43+S43+T43+U43)-(AN43+AP43)</f>
        <v>0</v>
      </c>
      <c r="AM43" s="81"/>
      <c r="AN43" s="81"/>
      <c r="AO43" s="81"/>
      <c r="AP43" s="81"/>
    </row>
    <row r="44" spans="1:42" ht="15" customHeight="1">
      <c r="A44" s="38" t="s">
        <v>100</v>
      </c>
      <c r="B44" s="38" t="s">
        <v>68</v>
      </c>
      <c r="C44" s="38" t="s">
        <v>65</v>
      </c>
      <c r="D44" s="38" t="s">
        <v>66</v>
      </c>
      <c r="E44" s="39">
        <v>3283.12</v>
      </c>
      <c r="F44" s="39">
        <v>0</v>
      </c>
      <c r="G44" s="39">
        <v>0</v>
      </c>
      <c r="H44" s="40">
        <v>0</v>
      </c>
      <c r="I44" s="40">
        <v>0</v>
      </c>
      <c r="J44" s="40">
        <v>262.64999999999998</v>
      </c>
      <c r="K44" s="40">
        <v>0</v>
      </c>
      <c r="L44" s="40">
        <v>0</v>
      </c>
      <c r="M44" s="40">
        <v>0</v>
      </c>
      <c r="N44" s="40">
        <v>0</v>
      </c>
      <c r="O44" s="40">
        <v>3283.12</v>
      </c>
      <c r="P44" s="40">
        <v>0</v>
      </c>
      <c r="Q44" s="40">
        <v>0</v>
      </c>
      <c r="R44" s="40">
        <v>282.56</v>
      </c>
      <c r="S44" s="40">
        <v>0</v>
      </c>
      <c r="T44" s="40">
        <v>0</v>
      </c>
      <c r="U44" s="40">
        <v>0</v>
      </c>
      <c r="V44" s="40">
        <v>3283.12</v>
      </c>
      <c r="W44" s="40">
        <v>0</v>
      </c>
      <c r="X44" s="40">
        <v>0</v>
      </c>
      <c r="Y44" s="40">
        <v>0</v>
      </c>
      <c r="Z44" s="40">
        <v>0</v>
      </c>
      <c r="AA44" s="40">
        <v>122.06</v>
      </c>
      <c r="AB44" s="40">
        <v>656.62</v>
      </c>
      <c r="AC44" s="40">
        <v>190.42</v>
      </c>
      <c r="AD44" s="40">
        <v>1251.67</v>
      </c>
      <c r="AE44" s="49">
        <f t="shared" si="12"/>
        <v>0</v>
      </c>
      <c r="AF44" s="49">
        <f t="shared" si="13"/>
        <v>9.9999999999909051E-3</v>
      </c>
      <c r="AG44" t="s">
        <v>100</v>
      </c>
      <c r="AH44" s="55">
        <v>3283.12</v>
      </c>
      <c r="AI44">
        <v>262.64</v>
      </c>
      <c r="AJ44" s="49">
        <f t="shared" si="14"/>
        <v>0</v>
      </c>
      <c r="AK44" s="49">
        <f t="shared" si="15"/>
        <v>0</v>
      </c>
      <c r="AL44" t="s">
        <v>100</v>
      </c>
      <c r="AM44" s="81">
        <v>3283.12</v>
      </c>
      <c r="AN44" s="81">
        <v>282.56</v>
      </c>
      <c r="AO44" s="81">
        <v>0</v>
      </c>
      <c r="AP44" s="81">
        <v>0</v>
      </c>
    </row>
    <row r="45" spans="1:42" ht="15" customHeight="1">
      <c r="A45" s="38" t="s">
        <v>101</v>
      </c>
      <c r="B45" s="38" t="s">
        <v>68</v>
      </c>
      <c r="C45" s="38" t="s">
        <v>65</v>
      </c>
      <c r="D45" s="38" t="s">
        <v>66</v>
      </c>
      <c r="E45" s="39">
        <v>2234.65</v>
      </c>
      <c r="F45" s="39">
        <v>0</v>
      </c>
      <c r="G45" s="39">
        <v>0</v>
      </c>
      <c r="H45" s="40">
        <v>0</v>
      </c>
      <c r="I45" s="40">
        <v>0</v>
      </c>
      <c r="J45" s="40">
        <v>178.77</v>
      </c>
      <c r="K45" s="40">
        <v>0</v>
      </c>
      <c r="L45" s="40">
        <v>0</v>
      </c>
      <c r="M45" s="40">
        <v>0</v>
      </c>
      <c r="N45" s="40">
        <v>0</v>
      </c>
      <c r="O45" s="40">
        <v>2234.65</v>
      </c>
      <c r="P45" s="40">
        <v>0</v>
      </c>
      <c r="Q45" s="40">
        <v>0</v>
      </c>
      <c r="R45" s="40">
        <v>176.79</v>
      </c>
      <c r="S45" s="40">
        <v>0</v>
      </c>
      <c r="T45" s="40">
        <v>0</v>
      </c>
      <c r="U45" s="40">
        <v>0</v>
      </c>
      <c r="V45" s="40">
        <v>2234.65</v>
      </c>
      <c r="W45" s="40">
        <v>0</v>
      </c>
      <c r="X45" s="40">
        <v>0</v>
      </c>
      <c r="Y45" s="40">
        <v>0</v>
      </c>
      <c r="Z45" s="40">
        <v>0</v>
      </c>
      <c r="AA45" s="40">
        <v>83.08</v>
      </c>
      <c r="AB45" s="40">
        <v>446.93</v>
      </c>
      <c r="AC45" s="40">
        <v>129.61000000000001</v>
      </c>
      <c r="AD45" s="40">
        <v>836.41</v>
      </c>
      <c r="AE45" s="49">
        <f t="shared" si="12"/>
        <v>0</v>
      </c>
      <c r="AF45" s="49">
        <f t="shared" si="13"/>
        <v>0</v>
      </c>
      <c r="AG45" t="s">
        <v>101</v>
      </c>
      <c r="AH45" s="55">
        <v>2234.65</v>
      </c>
      <c r="AI45">
        <v>178.77</v>
      </c>
      <c r="AJ45" s="49">
        <f t="shared" si="14"/>
        <v>0</v>
      </c>
      <c r="AK45" s="49">
        <f t="shared" si="15"/>
        <v>0</v>
      </c>
      <c r="AL45" t="s">
        <v>101</v>
      </c>
      <c r="AM45" s="81">
        <v>2234.65</v>
      </c>
      <c r="AN45" s="81">
        <v>176.79</v>
      </c>
      <c r="AO45" s="81">
        <v>0</v>
      </c>
      <c r="AP45" s="81">
        <v>0</v>
      </c>
    </row>
    <row r="46" spans="1:42" ht="15" customHeight="1">
      <c r="A46" s="38" t="s">
        <v>102</v>
      </c>
      <c r="B46" s="38" t="s">
        <v>68</v>
      </c>
      <c r="C46" s="38" t="s">
        <v>82</v>
      </c>
      <c r="D46" s="38" t="s">
        <v>66</v>
      </c>
      <c r="E46" s="39">
        <v>196.83</v>
      </c>
      <c r="F46" s="39">
        <v>0</v>
      </c>
      <c r="G46" s="39">
        <v>0</v>
      </c>
      <c r="H46" s="40">
        <v>0</v>
      </c>
      <c r="I46" s="40">
        <v>0</v>
      </c>
      <c r="J46" s="40">
        <v>15.75</v>
      </c>
      <c r="K46" s="40">
        <v>0</v>
      </c>
      <c r="L46" s="40">
        <v>0</v>
      </c>
      <c r="M46" s="40">
        <v>0</v>
      </c>
      <c r="N46" s="40">
        <v>0</v>
      </c>
      <c r="O46" s="40">
        <v>196.83</v>
      </c>
      <c r="P46" s="40">
        <v>0</v>
      </c>
      <c r="Q46" s="40">
        <v>0</v>
      </c>
      <c r="R46" s="40">
        <v>14.76</v>
      </c>
      <c r="S46" s="40">
        <v>0</v>
      </c>
      <c r="T46" s="40">
        <v>0</v>
      </c>
      <c r="U46" s="40">
        <v>0</v>
      </c>
      <c r="V46" s="40">
        <v>196.83</v>
      </c>
      <c r="W46" s="40">
        <v>0</v>
      </c>
      <c r="X46" s="40">
        <v>0</v>
      </c>
      <c r="Y46" s="40">
        <v>0</v>
      </c>
      <c r="Z46" s="40">
        <v>0</v>
      </c>
      <c r="AA46" s="40">
        <v>7.32</v>
      </c>
      <c r="AB46" s="40">
        <v>39.369999999999997</v>
      </c>
      <c r="AC46" s="40">
        <v>11.42</v>
      </c>
      <c r="AD46" s="40">
        <v>72.86</v>
      </c>
      <c r="AE46" s="49">
        <f t="shared" si="12"/>
        <v>0</v>
      </c>
      <c r="AF46" s="49">
        <f t="shared" si="13"/>
        <v>9.9999999999997868E-3</v>
      </c>
      <c r="AG46" t="s">
        <v>102</v>
      </c>
      <c r="AH46">
        <v>196.83</v>
      </c>
      <c r="AI46">
        <v>15.74</v>
      </c>
      <c r="AJ46" s="49">
        <f t="shared" si="14"/>
        <v>0</v>
      </c>
      <c r="AK46" s="49">
        <f t="shared" si="15"/>
        <v>0</v>
      </c>
      <c r="AL46" t="s">
        <v>102</v>
      </c>
      <c r="AM46" s="81">
        <v>196.83</v>
      </c>
      <c r="AN46" s="81">
        <v>14.76</v>
      </c>
      <c r="AO46" s="81">
        <v>0</v>
      </c>
      <c r="AP46" s="81">
        <v>0</v>
      </c>
    </row>
    <row r="47" spans="1:42" ht="15" customHeight="1">
      <c r="A47" s="38" t="s">
        <v>103</v>
      </c>
      <c r="B47" s="38" t="s">
        <v>71</v>
      </c>
      <c r="C47" s="38" t="s">
        <v>65</v>
      </c>
      <c r="D47" s="38" t="s">
        <v>66</v>
      </c>
      <c r="E47" s="39">
        <v>2724.57</v>
      </c>
      <c r="F47" s="39">
        <v>0</v>
      </c>
      <c r="G47" s="39">
        <v>0</v>
      </c>
      <c r="H47" s="40">
        <v>0</v>
      </c>
      <c r="I47" s="40">
        <v>0</v>
      </c>
      <c r="J47" s="40">
        <v>217.97</v>
      </c>
      <c r="K47" s="40">
        <v>0</v>
      </c>
      <c r="L47" s="40">
        <v>0</v>
      </c>
      <c r="M47" s="40">
        <v>0</v>
      </c>
      <c r="N47" s="40">
        <v>0</v>
      </c>
      <c r="O47" s="40">
        <v>2724.57</v>
      </c>
      <c r="P47" s="40">
        <v>0</v>
      </c>
      <c r="Q47" s="40">
        <v>0</v>
      </c>
      <c r="R47" s="40">
        <v>220.89</v>
      </c>
      <c r="S47" s="40">
        <v>0</v>
      </c>
      <c r="T47" s="40">
        <v>0</v>
      </c>
      <c r="U47" s="40">
        <v>0</v>
      </c>
      <c r="V47" s="40">
        <v>2724.57</v>
      </c>
      <c r="W47" s="40">
        <v>0</v>
      </c>
      <c r="X47" s="40">
        <v>0</v>
      </c>
      <c r="Y47" s="40">
        <v>0</v>
      </c>
      <c r="Z47" s="40">
        <v>0</v>
      </c>
      <c r="AA47" s="40">
        <v>101.3</v>
      </c>
      <c r="AB47" s="40">
        <v>544.91</v>
      </c>
      <c r="AC47" s="40">
        <v>158.03</v>
      </c>
      <c r="AD47" s="40">
        <v>1025.1300000000001</v>
      </c>
      <c r="AE47" s="49">
        <f t="shared" si="12"/>
        <v>0</v>
      </c>
      <c r="AF47" s="49">
        <f t="shared" si="13"/>
        <v>9.9999999999909051E-3</v>
      </c>
      <c r="AG47" t="s">
        <v>103</v>
      </c>
      <c r="AH47" s="55">
        <v>2724.57</v>
      </c>
      <c r="AI47">
        <v>217.96</v>
      </c>
      <c r="AJ47" s="49">
        <f t="shared" si="14"/>
        <v>0</v>
      </c>
      <c r="AK47" s="49">
        <f t="shared" si="15"/>
        <v>0</v>
      </c>
      <c r="AL47" t="s">
        <v>103</v>
      </c>
      <c r="AM47" s="81">
        <v>2724.57</v>
      </c>
      <c r="AN47" s="81">
        <v>220.89</v>
      </c>
      <c r="AO47" s="81">
        <v>0</v>
      </c>
      <c r="AP47" s="81">
        <v>0</v>
      </c>
    </row>
    <row r="48" spans="1:42" ht="15" customHeight="1">
      <c r="A48" s="38" t="s">
        <v>104</v>
      </c>
      <c r="B48" s="38" t="s">
        <v>98</v>
      </c>
      <c r="C48" s="38" t="s">
        <v>82</v>
      </c>
      <c r="D48" s="38" t="s">
        <v>66</v>
      </c>
      <c r="E48" s="39">
        <v>2396.23</v>
      </c>
      <c r="F48" s="39">
        <v>293.32</v>
      </c>
      <c r="G48" s="39">
        <v>0</v>
      </c>
      <c r="H48" s="40">
        <v>2214.34</v>
      </c>
      <c r="I48" s="40">
        <v>0</v>
      </c>
      <c r="J48" s="40">
        <v>191.7</v>
      </c>
      <c r="K48" s="40">
        <v>23.47</v>
      </c>
      <c r="L48" s="40">
        <v>0</v>
      </c>
      <c r="M48" s="40">
        <v>177.15</v>
      </c>
      <c r="N48" s="40">
        <v>0</v>
      </c>
      <c r="O48" s="40">
        <v>2396.23</v>
      </c>
      <c r="P48" s="40">
        <v>2214.34</v>
      </c>
      <c r="Q48" s="40">
        <v>0</v>
      </c>
      <c r="R48" s="40">
        <v>191.34</v>
      </c>
      <c r="S48" s="40">
        <v>174.97</v>
      </c>
      <c r="T48" s="40">
        <v>0</v>
      </c>
      <c r="U48" s="40">
        <v>0</v>
      </c>
      <c r="V48" s="40">
        <v>2396.23</v>
      </c>
      <c r="W48" s="40">
        <v>0</v>
      </c>
      <c r="X48" s="40">
        <v>0</v>
      </c>
      <c r="Y48" s="40">
        <v>0</v>
      </c>
      <c r="Z48" s="40">
        <v>0</v>
      </c>
      <c r="AA48" s="40">
        <v>171.42</v>
      </c>
      <c r="AB48" s="40">
        <v>922.11</v>
      </c>
      <c r="AC48" s="40">
        <v>267.41000000000003</v>
      </c>
      <c r="AD48" s="40">
        <v>1727.25</v>
      </c>
      <c r="AE48" s="49">
        <f t="shared" ref="AE48:AE64" si="16">(E48+F48+G48+H48+I48)-AH48</f>
        <v>4903.8900000000003</v>
      </c>
      <c r="AF48" s="49">
        <f t="shared" ref="AF48:AF64" si="17">(J48+K48+L48+M48+N48)-AI48</f>
        <v>392.32</v>
      </c>
      <c r="AH48" s="55"/>
      <c r="AJ48" s="49">
        <f t="shared" si="14"/>
        <v>0</v>
      </c>
      <c r="AK48" s="49">
        <f t="shared" si="15"/>
        <v>0</v>
      </c>
      <c r="AL48" t="s">
        <v>104</v>
      </c>
      <c r="AM48" s="81">
        <v>2396.23</v>
      </c>
      <c r="AN48" s="81">
        <v>191.34</v>
      </c>
      <c r="AO48" s="81">
        <v>2214.34</v>
      </c>
      <c r="AP48" s="81">
        <v>174.97</v>
      </c>
    </row>
    <row r="49" spans="1:42" ht="15" customHeight="1">
      <c r="A49" s="38" t="s">
        <v>105</v>
      </c>
      <c r="B49" s="38" t="s">
        <v>68</v>
      </c>
      <c r="C49" s="38" t="s">
        <v>65</v>
      </c>
      <c r="D49" s="38" t="s">
        <v>66</v>
      </c>
      <c r="E49" s="39">
        <v>3805.54</v>
      </c>
      <c r="F49" s="39">
        <v>0</v>
      </c>
      <c r="G49" s="39">
        <v>0</v>
      </c>
      <c r="H49" s="40">
        <v>0</v>
      </c>
      <c r="I49" s="40">
        <v>0</v>
      </c>
      <c r="J49" s="40">
        <v>304.44</v>
      </c>
      <c r="K49" s="40">
        <v>0</v>
      </c>
      <c r="L49" s="40">
        <v>0</v>
      </c>
      <c r="M49" s="40">
        <v>0</v>
      </c>
      <c r="N49" s="40">
        <v>0</v>
      </c>
      <c r="O49" s="40">
        <v>3805.54</v>
      </c>
      <c r="P49" s="40">
        <v>0</v>
      </c>
      <c r="Q49" s="40">
        <v>0</v>
      </c>
      <c r="R49" s="40">
        <v>345.25</v>
      </c>
      <c r="S49" s="40">
        <v>0</v>
      </c>
      <c r="T49" s="40">
        <v>0</v>
      </c>
      <c r="U49" s="40">
        <v>0</v>
      </c>
      <c r="V49" s="40">
        <v>3805.54</v>
      </c>
      <c r="W49" s="40">
        <v>0</v>
      </c>
      <c r="X49" s="40">
        <v>0</v>
      </c>
      <c r="Y49" s="40">
        <v>0</v>
      </c>
      <c r="Z49" s="40">
        <v>0</v>
      </c>
      <c r="AA49" s="40">
        <v>141.49</v>
      </c>
      <c r="AB49" s="40">
        <v>761.11</v>
      </c>
      <c r="AC49" s="40">
        <v>220.72</v>
      </c>
      <c r="AD49" s="40">
        <v>1468.57</v>
      </c>
      <c r="AE49" s="49">
        <f t="shared" si="16"/>
        <v>0</v>
      </c>
      <c r="AF49" s="49">
        <f t="shared" si="17"/>
        <v>0</v>
      </c>
      <c r="AG49" t="s">
        <v>105</v>
      </c>
      <c r="AH49" s="55">
        <v>3805.54</v>
      </c>
      <c r="AI49">
        <v>304.44</v>
      </c>
      <c r="AJ49" s="49">
        <f t="shared" si="14"/>
        <v>0</v>
      </c>
      <c r="AK49" s="49">
        <f t="shared" si="15"/>
        <v>0</v>
      </c>
      <c r="AL49" t="s">
        <v>105</v>
      </c>
      <c r="AM49" s="81">
        <v>3805.54</v>
      </c>
      <c r="AN49" s="81">
        <v>345.25</v>
      </c>
      <c r="AO49" s="81">
        <v>0</v>
      </c>
      <c r="AP49" s="81">
        <v>0</v>
      </c>
    </row>
    <row r="50" spans="1:42" ht="15" customHeight="1">
      <c r="A50" s="38" t="s">
        <v>106</v>
      </c>
      <c r="B50" s="38" t="s">
        <v>68</v>
      </c>
      <c r="C50" s="38" t="s">
        <v>65</v>
      </c>
      <c r="D50" s="38" t="s">
        <v>66</v>
      </c>
      <c r="E50" s="39">
        <v>3158.92</v>
      </c>
      <c r="F50" s="39">
        <v>0</v>
      </c>
      <c r="G50" s="39">
        <v>0</v>
      </c>
      <c r="H50" s="40">
        <v>0</v>
      </c>
      <c r="I50" s="40">
        <v>0</v>
      </c>
      <c r="J50" s="40">
        <v>252.71</v>
      </c>
      <c r="K50" s="40">
        <v>0</v>
      </c>
      <c r="L50" s="40">
        <v>0</v>
      </c>
      <c r="M50" s="40">
        <v>0</v>
      </c>
      <c r="N50" s="40">
        <v>0</v>
      </c>
      <c r="O50" s="40">
        <v>3158.92</v>
      </c>
      <c r="P50" s="40">
        <v>0</v>
      </c>
      <c r="Q50" s="40">
        <v>0</v>
      </c>
      <c r="R50" s="40">
        <v>267.64999999999998</v>
      </c>
      <c r="S50" s="40">
        <v>0</v>
      </c>
      <c r="T50" s="40">
        <v>0</v>
      </c>
      <c r="U50" s="40">
        <v>0</v>
      </c>
      <c r="V50" s="40">
        <v>3158.92</v>
      </c>
      <c r="W50" s="40">
        <v>0</v>
      </c>
      <c r="X50" s="40">
        <v>0</v>
      </c>
      <c r="Y50" s="40">
        <v>0</v>
      </c>
      <c r="Z50" s="40">
        <v>0</v>
      </c>
      <c r="AA50" s="40">
        <v>117.45</v>
      </c>
      <c r="AB50" s="40">
        <v>631.78</v>
      </c>
      <c r="AC50" s="40">
        <v>183.22</v>
      </c>
      <c r="AD50" s="40">
        <v>1200.0999999999999</v>
      </c>
      <c r="AE50" s="49">
        <f t="shared" si="16"/>
        <v>0</v>
      </c>
      <c r="AF50" s="49">
        <f t="shared" si="17"/>
        <v>0</v>
      </c>
      <c r="AG50" t="s">
        <v>106</v>
      </c>
      <c r="AH50" s="55">
        <v>3158.92</v>
      </c>
      <c r="AI50">
        <v>252.71</v>
      </c>
      <c r="AJ50" s="49">
        <f t="shared" si="14"/>
        <v>0</v>
      </c>
      <c r="AK50" s="49">
        <f t="shared" si="15"/>
        <v>0</v>
      </c>
      <c r="AL50" t="s">
        <v>106</v>
      </c>
      <c r="AM50" s="81">
        <v>3158.92</v>
      </c>
      <c r="AN50" s="81">
        <v>267.64999999999998</v>
      </c>
      <c r="AO50" s="81">
        <v>0</v>
      </c>
      <c r="AP50" s="81">
        <v>0</v>
      </c>
    </row>
    <row r="51" spans="1:42" ht="15" customHeight="1">
      <c r="A51" s="38" t="s">
        <v>107</v>
      </c>
      <c r="B51" s="38" t="s">
        <v>108</v>
      </c>
      <c r="C51" s="38" t="s">
        <v>65</v>
      </c>
      <c r="D51" s="38" t="s">
        <v>109</v>
      </c>
      <c r="E51" s="39">
        <v>641.41999999999996</v>
      </c>
      <c r="F51" s="39">
        <v>0</v>
      </c>
      <c r="G51" s="39">
        <v>0</v>
      </c>
      <c r="H51" s="40">
        <v>0</v>
      </c>
      <c r="I51" s="40">
        <v>0</v>
      </c>
      <c r="J51" s="40">
        <v>12.83</v>
      </c>
      <c r="K51" s="40">
        <v>0</v>
      </c>
      <c r="L51" s="40">
        <v>0</v>
      </c>
      <c r="M51" s="40">
        <v>0</v>
      </c>
      <c r="N51" s="40">
        <v>0</v>
      </c>
      <c r="O51" s="40">
        <v>641.41999999999996</v>
      </c>
      <c r="P51" s="40">
        <v>0</v>
      </c>
      <c r="Q51" s="40">
        <v>0</v>
      </c>
      <c r="R51" s="40">
        <v>48.1</v>
      </c>
      <c r="S51" s="40">
        <v>0</v>
      </c>
      <c r="T51" s="40">
        <v>0</v>
      </c>
      <c r="U51" s="40">
        <v>0</v>
      </c>
      <c r="V51" s="40">
        <v>641.41999999999996</v>
      </c>
      <c r="W51" s="40">
        <v>0</v>
      </c>
      <c r="X51" s="40">
        <v>0</v>
      </c>
      <c r="Y51" s="40">
        <v>0</v>
      </c>
      <c r="Z51" s="40">
        <v>0</v>
      </c>
      <c r="AA51" s="40">
        <v>23.85</v>
      </c>
      <c r="AB51" s="40">
        <v>128.28</v>
      </c>
      <c r="AC51" s="40">
        <v>37.200000000000003</v>
      </c>
      <c r="AD51" s="40">
        <v>237.43</v>
      </c>
      <c r="AE51" s="49">
        <f t="shared" si="16"/>
        <v>0</v>
      </c>
      <c r="AF51" s="49">
        <f t="shared" si="17"/>
        <v>9.9999999999997868E-3</v>
      </c>
      <c r="AG51" t="s">
        <v>107</v>
      </c>
      <c r="AH51">
        <v>641.41999999999996</v>
      </c>
      <c r="AI51">
        <v>12.82</v>
      </c>
      <c r="AJ51" s="49">
        <f t="shared" si="14"/>
        <v>0</v>
      </c>
      <c r="AK51" s="49">
        <f t="shared" si="15"/>
        <v>0</v>
      </c>
      <c r="AL51" t="s">
        <v>107</v>
      </c>
      <c r="AM51" s="81">
        <v>641.41999999999996</v>
      </c>
      <c r="AN51" s="81">
        <v>48.1</v>
      </c>
      <c r="AO51" s="81">
        <v>0</v>
      </c>
      <c r="AP51" s="81">
        <v>0</v>
      </c>
    </row>
    <row r="52" spans="1:42" ht="15" customHeight="1">
      <c r="A52" s="38" t="s">
        <v>110</v>
      </c>
      <c r="B52" s="38" t="s">
        <v>68</v>
      </c>
      <c r="C52" s="38" t="s">
        <v>65</v>
      </c>
      <c r="D52" s="38" t="s">
        <v>66</v>
      </c>
      <c r="E52" s="39">
        <v>3624.63</v>
      </c>
      <c r="F52" s="39">
        <v>0</v>
      </c>
      <c r="G52" s="39">
        <v>0</v>
      </c>
      <c r="H52" s="40">
        <v>0</v>
      </c>
      <c r="I52" s="40">
        <v>0</v>
      </c>
      <c r="J52" s="40">
        <v>289.97000000000003</v>
      </c>
      <c r="K52" s="40">
        <v>0</v>
      </c>
      <c r="L52" s="40">
        <v>0</v>
      </c>
      <c r="M52" s="40">
        <v>0</v>
      </c>
      <c r="N52" s="40">
        <v>0</v>
      </c>
      <c r="O52" s="40">
        <v>3624.63</v>
      </c>
      <c r="P52" s="40">
        <v>0</v>
      </c>
      <c r="Q52" s="40">
        <v>0</v>
      </c>
      <c r="R52" s="40">
        <v>323.54000000000002</v>
      </c>
      <c r="S52" s="40">
        <v>0</v>
      </c>
      <c r="T52" s="40">
        <v>0</v>
      </c>
      <c r="U52" s="40">
        <v>0</v>
      </c>
      <c r="V52" s="40">
        <v>3624.63</v>
      </c>
      <c r="W52" s="40">
        <v>0</v>
      </c>
      <c r="X52" s="40">
        <v>0</v>
      </c>
      <c r="Y52" s="40">
        <v>0</v>
      </c>
      <c r="Z52" s="40">
        <v>0</v>
      </c>
      <c r="AA52" s="40">
        <v>134.76</v>
      </c>
      <c r="AB52" s="40">
        <v>724.93</v>
      </c>
      <c r="AC52" s="40">
        <v>210.23</v>
      </c>
      <c r="AD52" s="40">
        <v>1393.45</v>
      </c>
      <c r="AE52" s="49">
        <f t="shared" si="16"/>
        <v>0</v>
      </c>
      <c r="AF52" s="49">
        <f t="shared" si="17"/>
        <v>0</v>
      </c>
      <c r="AG52" t="s">
        <v>110</v>
      </c>
      <c r="AH52" s="55">
        <v>3624.63</v>
      </c>
      <c r="AI52">
        <v>289.97000000000003</v>
      </c>
      <c r="AJ52" s="49">
        <f t="shared" si="14"/>
        <v>0</v>
      </c>
      <c r="AK52" s="49">
        <f t="shared" si="15"/>
        <v>0</v>
      </c>
      <c r="AL52" t="s">
        <v>110</v>
      </c>
      <c r="AM52" s="81">
        <v>3624.63</v>
      </c>
      <c r="AN52" s="81">
        <v>323.54000000000002</v>
      </c>
      <c r="AO52" s="81">
        <v>0</v>
      </c>
      <c r="AP52" s="81">
        <v>0</v>
      </c>
    </row>
    <row r="53" spans="1:42" ht="15" customHeight="1">
      <c r="A53" s="38" t="s">
        <v>111</v>
      </c>
      <c r="B53" s="38" t="s">
        <v>71</v>
      </c>
      <c r="C53" s="38" t="s">
        <v>65</v>
      </c>
      <c r="D53" s="38" t="s">
        <v>66</v>
      </c>
      <c r="E53" s="39">
        <v>3200.88</v>
      </c>
      <c r="F53" s="39">
        <v>0</v>
      </c>
      <c r="G53" s="39">
        <v>0</v>
      </c>
      <c r="H53" s="40">
        <v>0</v>
      </c>
      <c r="I53" s="40">
        <v>0</v>
      </c>
      <c r="J53" s="40">
        <v>256.07</v>
      </c>
      <c r="K53" s="40">
        <v>0</v>
      </c>
      <c r="L53" s="40">
        <v>0</v>
      </c>
      <c r="M53" s="40">
        <v>0</v>
      </c>
      <c r="N53" s="40">
        <v>0</v>
      </c>
      <c r="O53" s="40">
        <v>3200.88</v>
      </c>
      <c r="P53" s="40">
        <v>0</v>
      </c>
      <c r="Q53" s="40">
        <v>0</v>
      </c>
      <c r="R53" s="40">
        <v>272.69</v>
      </c>
      <c r="S53" s="40">
        <v>0</v>
      </c>
      <c r="T53" s="40">
        <v>0</v>
      </c>
      <c r="U53" s="40">
        <v>0</v>
      </c>
      <c r="V53" s="40">
        <v>3200.88</v>
      </c>
      <c r="W53" s="40">
        <v>0</v>
      </c>
      <c r="X53" s="40">
        <v>0</v>
      </c>
      <c r="Y53" s="40">
        <v>0</v>
      </c>
      <c r="Z53" s="40">
        <v>0</v>
      </c>
      <c r="AA53" s="40">
        <v>119.01</v>
      </c>
      <c r="AB53" s="40">
        <v>640.17999999999995</v>
      </c>
      <c r="AC53" s="40">
        <v>185.65</v>
      </c>
      <c r="AD53" s="40">
        <v>1217.52</v>
      </c>
      <c r="AE53" s="49">
        <f t="shared" si="16"/>
        <v>0</v>
      </c>
      <c r="AF53" s="49">
        <f t="shared" si="17"/>
        <v>0</v>
      </c>
      <c r="AG53" t="s">
        <v>111</v>
      </c>
      <c r="AH53" s="55">
        <v>3200.88</v>
      </c>
      <c r="AI53">
        <v>256.07</v>
      </c>
      <c r="AJ53" s="49">
        <f t="shared" si="14"/>
        <v>0</v>
      </c>
      <c r="AK53" s="49">
        <f t="shared" si="15"/>
        <v>0</v>
      </c>
      <c r="AL53" t="s">
        <v>111</v>
      </c>
      <c r="AM53" s="81">
        <v>3200.88</v>
      </c>
      <c r="AN53" s="81">
        <v>272.69</v>
      </c>
      <c r="AO53" s="81">
        <v>0</v>
      </c>
      <c r="AP53" s="81">
        <v>0</v>
      </c>
    </row>
    <row r="54" spans="1:42" ht="15" customHeight="1">
      <c r="A54" s="38" t="s">
        <v>112</v>
      </c>
      <c r="B54" s="38" t="s">
        <v>113</v>
      </c>
      <c r="C54" s="38" t="s">
        <v>65</v>
      </c>
      <c r="D54" s="38" t="s">
        <v>66</v>
      </c>
      <c r="E54" s="39">
        <v>3112.09</v>
      </c>
      <c r="F54" s="39">
        <v>0</v>
      </c>
      <c r="G54" s="39">
        <v>0</v>
      </c>
      <c r="H54" s="40">
        <v>0</v>
      </c>
      <c r="I54" s="40">
        <v>0</v>
      </c>
      <c r="J54" s="40">
        <v>248.97</v>
      </c>
      <c r="K54" s="40">
        <v>0</v>
      </c>
      <c r="L54" s="40">
        <v>0</v>
      </c>
      <c r="M54" s="40">
        <v>0</v>
      </c>
      <c r="N54" s="40">
        <v>0</v>
      </c>
      <c r="O54" s="40">
        <v>3112.09</v>
      </c>
      <c r="P54" s="40">
        <v>0</v>
      </c>
      <c r="Q54" s="40">
        <v>0</v>
      </c>
      <c r="R54" s="40">
        <v>262.04000000000002</v>
      </c>
      <c r="S54" s="40">
        <v>0</v>
      </c>
      <c r="T54" s="40">
        <v>0</v>
      </c>
      <c r="U54" s="40">
        <v>0</v>
      </c>
      <c r="V54" s="40">
        <v>3112.09</v>
      </c>
      <c r="W54" s="40">
        <v>0</v>
      </c>
      <c r="X54" s="40">
        <v>0</v>
      </c>
      <c r="Y54" s="40">
        <v>0</v>
      </c>
      <c r="Z54" s="40">
        <v>0</v>
      </c>
      <c r="AA54" s="40">
        <v>115.7</v>
      </c>
      <c r="AB54" s="40">
        <v>622.41999999999996</v>
      </c>
      <c r="AC54" s="40">
        <v>180.5</v>
      </c>
      <c r="AD54" s="40">
        <v>1180.6600000000001</v>
      </c>
      <c r="AE54" s="49">
        <f t="shared" si="16"/>
        <v>0</v>
      </c>
      <c r="AF54" s="49">
        <f t="shared" si="17"/>
        <v>9.9999999999909051E-3</v>
      </c>
      <c r="AG54" t="s">
        <v>112</v>
      </c>
      <c r="AH54" s="55">
        <v>3112.09</v>
      </c>
      <c r="AI54">
        <v>248.96</v>
      </c>
      <c r="AJ54" s="49">
        <f t="shared" si="14"/>
        <v>0</v>
      </c>
      <c r="AK54" s="49">
        <f t="shared" si="15"/>
        <v>0</v>
      </c>
      <c r="AL54" t="s">
        <v>112</v>
      </c>
      <c r="AM54" s="81">
        <v>3112.09</v>
      </c>
      <c r="AN54" s="81">
        <v>262.04000000000002</v>
      </c>
      <c r="AO54" s="81">
        <v>0</v>
      </c>
      <c r="AP54" s="81">
        <v>0</v>
      </c>
    </row>
    <row r="55" spans="1:42" ht="15" customHeight="1">
      <c r="A55" s="38" t="s">
        <v>114</v>
      </c>
      <c r="B55" s="38" t="s">
        <v>68</v>
      </c>
      <c r="C55" s="38" t="s">
        <v>82</v>
      </c>
      <c r="D55" s="38" t="s">
        <v>66</v>
      </c>
      <c r="E55" s="39">
        <v>799.32</v>
      </c>
      <c r="F55" s="39">
        <v>0</v>
      </c>
      <c r="G55" s="39">
        <v>0</v>
      </c>
      <c r="H55" s="40">
        <v>2104.08</v>
      </c>
      <c r="I55" s="40">
        <v>0</v>
      </c>
      <c r="J55" s="40">
        <v>63.95</v>
      </c>
      <c r="K55" s="40">
        <v>0</v>
      </c>
      <c r="L55" s="40">
        <v>0</v>
      </c>
      <c r="M55" s="40">
        <v>168.33</v>
      </c>
      <c r="N55" s="40">
        <v>0</v>
      </c>
      <c r="O55" s="40">
        <v>799.32</v>
      </c>
      <c r="P55" s="40">
        <v>2104.08</v>
      </c>
      <c r="Q55" s="40">
        <v>0</v>
      </c>
      <c r="R55" s="40">
        <v>59.94</v>
      </c>
      <c r="S55" s="40">
        <v>165.04</v>
      </c>
      <c r="T55" s="40">
        <v>0</v>
      </c>
      <c r="U55" s="40">
        <v>0</v>
      </c>
      <c r="V55" s="40">
        <v>799.32</v>
      </c>
      <c r="W55" s="40">
        <v>0</v>
      </c>
      <c r="X55" s="40">
        <v>0</v>
      </c>
      <c r="Y55" s="40">
        <v>0</v>
      </c>
      <c r="Z55" s="40">
        <v>0</v>
      </c>
      <c r="AA55" s="40">
        <v>107.95</v>
      </c>
      <c r="AB55" s="40">
        <v>580.67999999999995</v>
      </c>
      <c r="AC55" s="40">
        <v>168.4</v>
      </c>
      <c r="AD55" s="40">
        <v>1082</v>
      </c>
      <c r="AE55" s="49">
        <f t="shared" si="16"/>
        <v>0</v>
      </c>
      <c r="AF55" s="49">
        <f t="shared" si="17"/>
        <v>2.0000000000038654E-2</v>
      </c>
      <c r="AG55" t="s">
        <v>114</v>
      </c>
      <c r="AH55" s="55">
        <v>2903.4</v>
      </c>
      <c r="AI55">
        <v>232.26</v>
      </c>
      <c r="AJ55" s="49">
        <f t="shared" si="14"/>
        <v>0</v>
      </c>
      <c r="AK55" s="49">
        <f t="shared" si="15"/>
        <v>0</v>
      </c>
      <c r="AL55" t="s">
        <v>114</v>
      </c>
      <c r="AM55" s="81">
        <v>799.32</v>
      </c>
      <c r="AN55" s="81">
        <v>59.94</v>
      </c>
      <c r="AO55" s="81">
        <v>2104.08</v>
      </c>
      <c r="AP55" s="81">
        <v>165.04</v>
      </c>
    </row>
    <row r="56" spans="1:42" ht="15" customHeight="1">
      <c r="A56" s="38" t="s">
        <v>115</v>
      </c>
      <c r="B56" s="38" t="s">
        <v>68</v>
      </c>
      <c r="C56" s="38" t="s">
        <v>65</v>
      </c>
      <c r="D56" s="38" t="s">
        <v>66</v>
      </c>
      <c r="E56" s="39">
        <v>6175.9</v>
      </c>
      <c r="F56" s="39">
        <v>0</v>
      </c>
      <c r="G56" s="39">
        <v>0</v>
      </c>
      <c r="H56" s="40">
        <v>0</v>
      </c>
      <c r="I56" s="40">
        <v>0</v>
      </c>
      <c r="J56" s="40">
        <v>494.07</v>
      </c>
      <c r="K56" s="40">
        <v>0</v>
      </c>
      <c r="L56" s="40">
        <v>0</v>
      </c>
      <c r="M56" s="40">
        <v>0</v>
      </c>
      <c r="N56" s="40">
        <v>0</v>
      </c>
      <c r="O56" s="40">
        <v>6175.9</v>
      </c>
      <c r="P56" s="40">
        <v>0</v>
      </c>
      <c r="Q56" s="40">
        <v>0</v>
      </c>
      <c r="R56" s="40">
        <v>666.12</v>
      </c>
      <c r="S56" s="40">
        <v>0</v>
      </c>
      <c r="T56" s="40">
        <v>0</v>
      </c>
      <c r="U56" s="40">
        <v>0</v>
      </c>
      <c r="V56" s="40">
        <v>6175.9</v>
      </c>
      <c r="W56" s="40">
        <v>0</v>
      </c>
      <c r="X56" s="40">
        <v>397.99</v>
      </c>
      <c r="Y56" s="40">
        <v>0</v>
      </c>
      <c r="Z56" s="40">
        <v>0</v>
      </c>
      <c r="AA56" s="40">
        <v>229.61</v>
      </c>
      <c r="AB56" s="40">
        <v>1235.18</v>
      </c>
      <c r="AC56" s="40">
        <v>358.2</v>
      </c>
      <c r="AD56" s="40">
        <v>2489.12</v>
      </c>
      <c r="AE56" s="49">
        <f t="shared" si="16"/>
        <v>0</v>
      </c>
      <c r="AF56" s="49">
        <f t="shared" si="17"/>
        <v>0</v>
      </c>
      <c r="AG56" t="s">
        <v>115</v>
      </c>
      <c r="AH56" s="55">
        <v>6175.9</v>
      </c>
      <c r="AI56">
        <v>494.07</v>
      </c>
      <c r="AJ56" s="49">
        <f t="shared" si="14"/>
        <v>0</v>
      </c>
      <c r="AK56" s="49">
        <f t="shared" si="15"/>
        <v>0</v>
      </c>
      <c r="AL56" t="s">
        <v>115</v>
      </c>
      <c r="AM56" s="81">
        <v>6175.9</v>
      </c>
      <c r="AN56" s="81">
        <v>666.12</v>
      </c>
      <c r="AO56" s="81">
        <v>0</v>
      </c>
      <c r="AP56" s="81">
        <v>0</v>
      </c>
    </row>
    <row r="57" spans="1:42" ht="15" customHeight="1">
      <c r="A57" s="38" t="s">
        <v>116</v>
      </c>
      <c r="B57" s="38" t="s">
        <v>113</v>
      </c>
      <c r="C57" s="38" t="s">
        <v>65</v>
      </c>
      <c r="D57" s="38" t="s">
        <v>66</v>
      </c>
      <c r="E57" s="39">
        <v>3710.73</v>
      </c>
      <c r="F57" s="39">
        <v>0</v>
      </c>
      <c r="G57" s="39">
        <v>0</v>
      </c>
      <c r="H57" s="40">
        <v>0</v>
      </c>
      <c r="I57" s="40">
        <v>0</v>
      </c>
      <c r="J57" s="40">
        <v>296.86</v>
      </c>
      <c r="K57" s="40">
        <v>0</v>
      </c>
      <c r="L57" s="40">
        <v>0</v>
      </c>
      <c r="M57" s="40">
        <v>0</v>
      </c>
      <c r="N57" s="40">
        <v>0</v>
      </c>
      <c r="O57" s="40">
        <v>3710.73</v>
      </c>
      <c r="P57" s="40">
        <v>0</v>
      </c>
      <c r="Q57" s="40">
        <v>0</v>
      </c>
      <c r="R57" s="40">
        <v>333.87</v>
      </c>
      <c r="S57" s="40">
        <v>0</v>
      </c>
      <c r="T57" s="40">
        <v>0</v>
      </c>
      <c r="U57" s="40">
        <v>0</v>
      </c>
      <c r="V57" s="40">
        <v>3710.73</v>
      </c>
      <c r="W57" s="40">
        <v>0</v>
      </c>
      <c r="X57" s="40">
        <v>0</v>
      </c>
      <c r="Y57" s="40">
        <v>0</v>
      </c>
      <c r="Z57" s="40">
        <v>0</v>
      </c>
      <c r="AA57" s="40">
        <v>137.96</v>
      </c>
      <c r="AB57" s="40">
        <v>742.15</v>
      </c>
      <c r="AC57" s="40">
        <v>215.22</v>
      </c>
      <c r="AD57" s="40">
        <v>1429.2</v>
      </c>
      <c r="AE57" s="49">
        <f t="shared" si="16"/>
        <v>0</v>
      </c>
      <c r="AF57" s="49">
        <f t="shared" si="17"/>
        <v>9.9999999999909051E-3</v>
      </c>
      <c r="AG57" t="s">
        <v>116</v>
      </c>
      <c r="AH57" s="55">
        <v>3710.73</v>
      </c>
      <c r="AI57">
        <v>296.85000000000002</v>
      </c>
      <c r="AJ57" s="49">
        <f t="shared" si="14"/>
        <v>0</v>
      </c>
      <c r="AK57" s="49">
        <f t="shared" si="15"/>
        <v>0</v>
      </c>
      <c r="AL57" t="s">
        <v>116</v>
      </c>
      <c r="AM57" s="81">
        <v>3710.73</v>
      </c>
      <c r="AN57" s="81">
        <v>333.87</v>
      </c>
      <c r="AO57" s="81">
        <v>0</v>
      </c>
      <c r="AP57" s="81">
        <v>0</v>
      </c>
    </row>
    <row r="58" spans="1:42" ht="15" customHeight="1">
      <c r="A58" s="38" t="s">
        <v>117</v>
      </c>
      <c r="B58" s="38" t="s">
        <v>68</v>
      </c>
      <c r="C58" s="38" t="s">
        <v>65</v>
      </c>
      <c r="D58" s="38" t="s">
        <v>66</v>
      </c>
      <c r="E58" s="39">
        <v>3633.07</v>
      </c>
      <c r="F58" s="39">
        <v>0</v>
      </c>
      <c r="G58" s="39">
        <v>0</v>
      </c>
      <c r="H58" s="40">
        <v>0</v>
      </c>
      <c r="I58" s="40">
        <v>0</v>
      </c>
      <c r="J58" s="40">
        <v>290.64999999999998</v>
      </c>
      <c r="K58" s="40">
        <v>0</v>
      </c>
      <c r="L58" s="40">
        <v>0</v>
      </c>
      <c r="M58" s="40">
        <v>0</v>
      </c>
      <c r="N58" s="40">
        <v>0</v>
      </c>
      <c r="O58" s="40">
        <v>3633.07</v>
      </c>
      <c r="P58" s="40">
        <v>0</v>
      </c>
      <c r="Q58" s="40">
        <v>0</v>
      </c>
      <c r="R58" s="40">
        <v>324.55</v>
      </c>
      <c r="S58" s="40">
        <v>0</v>
      </c>
      <c r="T58" s="40">
        <v>0</v>
      </c>
      <c r="U58" s="40">
        <v>0</v>
      </c>
      <c r="V58" s="40">
        <v>3633.07</v>
      </c>
      <c r="W58" s="40">
        <v>0</v>
      </c>
      <c r="X58" s="40">
        <v>0</v>
      </c>
      <c r="Y58" s="40">
        <v>0</v>
      </c>
      <c r="Z58" s="40">
        <v>0</v>
      </c>
      <c r="AA58" s="40">
        <v>135.07</v>
      </c>
      <c r="AB58" s="40">
        <v>726.61</v>
      </c>
      <c r="AC58" s="40">
        <v>210.72</v>
      </c>
      <c r="AD58" s="40">
        <v>1396.96</v>
      </c>
      <c r="AE58" s="49">
        <f t="shared" si="16"/>
        <v>0</v>
      </c>
      <c r="AF58" s="49">
        <f t="shared" si="17"/>
        <v>9.9999999999909051E-3</v>
      </c>
      <c r="AG58" t="s">
        <v>117</v>
      </c>
      <c r="AH58" s="55">
        <v>3633.07</v>
      </c>
      <c r="AI58">
        <v>290.64</v>
      </c>
      <c r="AJ58" s="49">
        <f t="shared" si="14"/>
        <v>0</v>
      </c>
      <c r="AK58" s="49">
        <f t="shared" si="15"/>
        <v>0</v>
      </c>
      <c r="AL58" t="s">
        <v>117</v>
      </c>
      <c r="AM58" s="81">
        <v>3633.07</v>
      </c>
      <c r="AN58" s="81">
        <v>324.55</v>
      </c>
      <c r="AO58" s="81">
        <v>0</v>
      </c>
      <c r="AP58" s="81">
        <v>0</v>
      </c>
    </row>
    <row r="59" spans="1:42" ht="15" customHeight="1">
      <c r="A59" s="38" t="s">
        <v>118</v>
      </c>
      <c r="B59" s="38" t="s">
        <v>68</v>
      </c>
      <c r="C59" s="38" t="s">
        <v>65</v>
      </c>
      <c r="D59" s="38" t="s">
        <v>66</v>
      </c>
      <c r="E59" s="39">
        <v>3288.34</v>
      </c>
      <c r="F59" s="39">
        <v>0</v>
      </c>
      <c r="G59" s="39">
        <v>0</v>
      </c>
      <c r="H59" s="40">
        <v>0</v>
      </c>
      <c r="I59" s="40">
        <v>0</v>
      </c>
      <c r="J59" s="40">
        <v>263.07</v>
      </c>
      <c r="K59" s="40">
        <v>0</v>
      </c>
      <c r="L59" s="40">
        <v>0</v>
      </c>
      <c r="M59" s="40">
        <v>0</v>
      </c>
      <c r="N59" s="40">
        <v>0</v>
      </c>
      <c r="O59" s="40">
        <v>3288.34</v>
      </c>
      <c r="P59" s="40">
        <v>0</v>
      </c>
      <c r="Q59" s="40">
        <v>0</v>
      </c>
      <c r="R59" s="40">
        <v>283.19</v>
      </c>
      <c r="S59" s="40">
        <v>0</v>
      </c>
      <c r="T59" s="40">
        <v>0</v>
      </c>
      <c r="U59" s="40">
        <v>0</v>
      </c>
      <c r="V59" s="40">
        <v>3288.34</v>
      </c>
      <c r="W59" s="40">
        <v>0</v>
      </c>
      <c r="X59" s="40">
        <v>0</v>
      </c>
      <c r="Y59" s="40">
        <v>0</v>
      </c>
      <c r="Z59" s="40">
        <v>0</v>
      </c>
      <c r="AA59" s="40">
        <v>122.26</v>
      </c>
      <c r="AB59" s="40">
        <v>657.67</v>
      </c>
      <c r="AC59" s="40">
        <v>190.72</v>
      </c>
      <c r="AD59" s="40">
        <v>1253.8399999999999</v>
      </c>
      <c r="AE59" s="49">
        <f t="shared" si="16"/>
        <v>0</v>
      </c>
      <c r="AF59" s="49">
        <f t="shared" si="17"/>
        <v>9.9999999999909051E-3</v>
      </c>
      <c r="AG59" t="s">
        <v>118</v>
      </c>
      <c r="AH59" s="55">
        <v>3288.34</v>
      </c>
      <c r="AI59">
        <v>263.06</v>
      </c>
      <c r="AJ59" s="49">
        <f t="shared" si="14"/>
        <v>0</v>
      </c>
      <c r="AK59" s="49">
        <f t="shared" si="15"/>
        <v>0</v>
      </c>
      <c r="AL59" t="s">
        <v>118</v>
      </c>
      <c r="AM59" s="81">
        <v>3288.34</v>
      </c>
      <c r="AN59" s="81">
        <v>283.19</v>
      </c>
      <c r="AO59" s="81">
        <v>0</v>
      </c>
      <c r="AP59" s="81">
        <v>0</v>
      </c>
    </row>
    <row r="60" spans="1:42" ht="15" customHeight="1">
      <c r="A60" s="38" t="s">
        <v>119</v>
      </c>
      <c r="B60" s="38" t="s">
        <v>68</v>
      </c>
      <c r="C60" s="38" t="s">
        <v>65</v>
      </c>
      <c r="D60" s="38" t="s">
        <v>66</v>
      </c>
      <c r="E60" s="39">
        <v>3861.07</v>
      </c>
      <c r="F60" s="39">
        <v>0</v>
      </c>
      <c r="G60" s="39">
        <v>0</v>
      </c>
      <c r="H60" s="40">
        <v>0</v>
      </c>
      <c r="I60" s="40">
        <v>0</v>
      </c>
      <c r="J60" s="40">
        <v>308.89</v>
      </c>
      <c r="K60" s="40">
        <v>0</v>
      </c>
      <c r="L60" s="40">
        <v>0</v>
      </c>
      <c r="M60" s="40">
        <v>0</v>
      </c>
      <c r="N60" s="40">
        <v>0</v>
      </c>
      <c r="O60" s="40">
        <v>3861.07</v>
      </c>
      <c r="P60" s="40">
        <v>0</v>
      </c>
      <c r="Q60" s="40">
        <v>0</v>
      </c>
      <c r="R60" s="40">
        <v>351.91</v>
      </c>
      <c r="S60" s="40">
        <v>0</v>
      </c>
      <c r="T60" s="40">
        <v>0</v>
      </c>
      <c r="U60" s="40">
        <v>0</v>
      </c>
      <c r="V60" s="40">
        <v>3861.07</v>
      </c>
      <c r="W60" s="40">
        <v>0</v>
      </c>
      <c r="X60" s="40">
        <v>0</v>
      </c>
      <c r="Y60" s="40">
        <v>0</v>
      </c>
      <c r="Z60" s="40">
        <v>0</v>
      </c>
      <c r="AA60" s="40">
        <v>143.55000000000001</v>
      </c>
      <c r="AB60" s="40">
        <v>772.21</v>
      </c>
      <c r="AC60" s="40">
        <v>223.94</v>
      </c>
      <c r="AD60" s="40">
        <v>1491.62</v>
      </c>
      <c r="AE60" s="49">
        <f t="shared" si="16"/>
        <v>0</v>
      </c>
      <c r="AF60" s="49">
        <f t="shared" si="17"/>
        <v>9.9999999999909051E-3</v>
      </c>
      <c r="AG60" t="s">
        <v>119</v>
      </c>
      <c r="AH60" s="55">
        <v>3861.07</v>
      </c>
      <c r="AI60">
        <v>308.88</v>
      </c>
      <c r="AJ60" s="49">
        <f t="shared" si="14"/>
        <v>0</v>
      </c>
      <c r="AK60" s="49">
        <f t="shared" si="15"/>
        <v>0</v>
      </c>
      <c r="AL60" t="s">
        <v>119</v>
      </c>
      <c r="AM60" s="81">
        <v>3861.07</v>
      </c>
      <c r="AN60" s="81">
        <v>351.91</v>
      </c>
      <c r="AO60" s="81">
        <v>0</v>
      </c>
      <c r="AP60" s="81">
        <v>0</v>
      </c>
    </row>
    <row r="61" spans="1:42" ht="15" customHeight="1">
      <c r="A61" s="38" t="s">
        <v>120</v>
      </c>
      <c r="B61" s="38" t="s">
        <v>68</v>
      </c>
      <c r="C61" s="38" t="s">
        <v>65</v>
      </c>
      <c r="D61" s="38" t="s">
        <v>66</v>
      </c>
      <c r="E61" s="39">
        <v>6075.72</v>
      </c>
      <c r="F61" s="39">
        <v>0</v>
      </c>
      <c r="G61" s="39">
        <v>0</v>
      </c>
      <c r="H61" s="40">
        <v>0</v>
      </c>
      <c r="I61" s="40">
        <v>0</v>
      </c>
      <c r="J61" s="40">
        <v>486.06</v>
      </c>
      <c r="K61" s="40">
        <v>0</v>
      </c>
      <c r="L61" s="40">
        <v>0</v>
      </c>
      <c r="M61" s="40">
        <v>0</v>
      </c>
      <c r="N61" s="40">
        <v>0</v>
      </c>
      <c r="O61" s="40">
        <v>6075.72</v>
      </c>
      <c r="P61" s="40">
        <v>0</v>
      </c>
      <c r="Q61" s="40">
        <v>0</v>
      </c>
      <c r="R61" s="40">
        <v>652.1</v>
      </c>
      <c r="S61" s="40">
        <v>0</v>
      </c>
      <c r="T61" s="40">
        <v>0</v>
      </c>
      <c r="U61" s="40">
        <v>0</v>
      </c>
      <c r="V61" s="40">
        <v>6075.72</v>
      </c>
      <c r="W61" s="40">
        <v>0</v>
      </c>
      <c r="X61" s="40">
        <v>413.09</v>
      </c>
      <c r="Y61" s="40">
        <v>0</v>
      </c>
      <c r="Z61" s="40">
        <v>0</v>
      </c>
      <c r="AA61" s="40">
        <v>225.89</v>
      </c>
      <c r="AB61" s="40">
        <v>1215.1400000000001</v>
      </c>
      <c r="AC61" s="40">
        <v>352.39</v>
      </c>
      <c r="AD61" s="40">
        <v>2445.52</v>
      </c>
      <c r="AE61" s="49">
        <f t="shared" si="16"/>
        <v>0</v>
      </c>
      <c r="AF61" s="49">
        <f t="shared" si="17"/>
        <v>9.9999999999909051E-3</v>
      </c>
      <c r="AG61" t="s">
        <v>120</v>
      </c>
      <c r="AH61" s="55">
        <v>6075.72</v>
      </c>
      <c r="AI61">
        <v>486.05</v>
      </c>
      <c r="AJ61" s="49">
        <f t="shared" si="14"/>
        <v>0</v>
      </c>
      <c r="AK61" s="49">
        <f t="shared" si="15"/>
        <v>0</v>
      </c>
      <c r="AL61" t="s">
        <v>120</v>
      </c>
      <c r="AM61" s="81">
        <v>6075.72</v>
      </c>
      <c r="AN61" s="81">
        <v>652.1</v>
      </c>
      <c r="AO61" s="81">
        <v>0</v>
      </c>
      <c r="AP61" s="81">
        <v>0</v>
      </c>
    </row>
    <row r="62" spans="1:42" ht="15" customHeight="1">
      <c r="A62" s="38" t="s">
        <v>121</v>
      </c>
      <c r="B62" s="38" t="s">
        <v>68</v>
      </c>
      <c r="C62" s="38" t="s">
        <v>65</v>
      </c>
      <c r="D62" s="38" t="s">
        <v>66</v>
      </c>
      <c r="E62" s="39">
        <v>4048.63</v>
      </c>
      <c r="F62" s="39">
        <v>0</v>
      </c>
      <c r="G62" s="39">
        <v>0</v>
      </c>
      <c r="H62" s="40">
        <v>0</v>
      </c>
      <c r="I62" s="40">
        <v>0</v>
      </c>
      <c r="J62" s="40">
        <v>323.89</v>
      </c>
      <c r="K62" s="40">
        <v>0</v>
      </c>
      <c r="L62" s="40">
        <v>0</v>
      </c>
      <c r="M62" s="40">
        <v>0</v>
      </c>
      <c r="N62" s="40">
        <v>0</v>
      </c>
      <c r="O62" s="40">
        <v>4048.63</v>
      </c>
      <c r="P62" s="40">
        <v>0</v>
      </c>
      <c r="Q62" s="40">
        <v>0</v>
      </c>
      <c r="R62" s="40">
        <v>374.42</v>
      </c>
      <c r="S62" s="40">
        <v>0</v>
      </c>
      <c r="T62" s="40">
        <v>0</v>
      </c>
      <c r="U62" s="40">
        <v>0</v>
      </c>
      <c r="V62" s="40">
        <v>4048.63</v>
      </c>
      <c r="W62" s="40">
        <v>0</v>
      </c>
      <c r="X62" s="40">
        <v>0</v>
      </c>
      <c r="Y62" s="40">
        <v>0</v>
      </c>
      <c r="Z62" s="40">
        <v>0</v>
      </c>
      <c r="AA62" s="40">
        <v>150.52000000000001</v>
      </c>
      <c r="AB62" s="40">
        <v>809.73</v>
      </c>
      <c r="AC62" s="40">
        <v>234.82</v>
      </c>
      <c r="AD62" s="40">
        <v>1569.49</v>
      </c>
      <c r="AE62" s="49">
        <f t="shared" si="16"/>
        <v>0</v>
      </c>
      <c r="AF62" s="49">
        <f t="shared" si="17"/>
        <v>0</v>
      </c>
      <c r="AG62" t="s">
        <v>121</v>
      </c>
      <c r="AH62" s="55">
        <v>4048.63</v>
      </c>
      <c r="AI62">
        <v>323.89</v>
      </c>
      <c r="AJ62" s="49">
        <f t="shared" si="14"/>
        <v>0</v>
      </c>
      <c r="AK62" s="49">
        <f t="shared" si="15"/>
        <v>0</v>
      </c>
      <c r="AL62" t="s">
        <v>121</v>
      </c>
      <c r="AM62" s="81">
        <v>4048.63</v>
      </c>
      <c r="AN62" s="81">
        <v>374.42</v>
      </c>
      <c r="AO62" s="81">
        <v>0</v>
      </c>
      <c r="AP62" s="81">
        <v>0</v>
      </c>
    </row>
    <row r="63" spans="1:42" ht="15" customHeight="1">
      <c r="A63" s="38" t="s">
        <v>122</v>
      </c>
      <c r="B63" s="38" t="s">
        <v>64</v>
      </c>
      <c r="C63" s="38" t="s">
        <v>65</v>
      </c>
      <c r="D63" s="38" t="s">
        <v>66</v>
      </c>
      <c r="E63" s="39">
        <v>3499.92</v>
      </c>
      <c r="F63" s="39">
        <v>0</v>
      </c>
      <c r="G63" s="39">
        <v>0</v>
      </c>
      <c r="H63" s="40">
        <v>0</v>
      </c>
      <c r="I63" s="40">
        <v>0</v>
      </c>
      <c r="J63" s="40">
        <v>279.99</v>
      </c>
      <c r="K63" s="40">
        <v>0</v>
      </c>
      <c r="L63" s="40">
        <v>0</v>
      </c>
      <c r="M63" s="40">
        <v>0</v>
      </c>
      <c r="N63" s="40">
        <v>0</v>
      </c>
      <c r="O63" s="40">
        <v>3499.92</v>
      </c>
      <c r="P63" s="40">
        <v>0</v>
      </c>
      <c r="Q63" s="40">
        <v>0</v>
      </c>
      <c r="R63" s="40">
        <v>308.57</v>
      </c>
      <c r="S63" s="40">
        <v>0</v>
      </c>
      <c r="T63" s="40">
        <v>0</v>
      </c>
      <c r="U63" s="40">
        <v>0</v>
      </c>
      <c r="V63" s="40">
        <v>3499.92</v>
      </c>
      <c r="W63" s="40">
        <v>0</v>
      </c>
      <c r="X63" s="40">
        <v>0</v>
      </c>
      <c r="Y63" s="40">
        <v>0</v>
      </c>
      <c r="Z63" s="40">
        <v>0</v>
      </c>
      <c r="AA63" s="40">
        <v>130.12</v>
      </c>
      <c r="AB63" s="40">
        <v>699.98</v>
      </c>
      <c r="AC63" s="40">
        <v>203</v>
      </c>
      <c r="AD63" s="40">
        <v>1341.67</v>
      </c>
      <c r="AE63" s="49">
        <f t="shared" si="16"/>
        <v>0</v>
      </c>
      <c r="AF63" s="49">
        <f t="shared" si="17"/>
        <v>0</v>
      </c>
      <c r="AG63" t="s">
        <v>122</v>
      </c>
      <c r="AH63" s="55">
        <v>3499.92</v>
      </c>
      <c r="AI63">
        <v>279.99</v>
      </c>
      <c r="AJ63" s="49">
        <f t="shared" si="14"/>
        <v>0</v>
      </c>
      <c r="AK63" s="49">
        <f t="shared" si="15"/>
        <v>0</v>
      </c>
      <c r="AL63" t="s">
        <v>122</v>
      </c>
      <c r="AM63" s="81">
        <v>3499.92</v>
      </c>
      <c r="AN63" s="81">
        <v>308.57</v>
      </c>
      <c r="AO63" s="81">
        <v>0</v>
      </c>
      <c r="AP63" s="81">
        <v>0</v>
      </c>
    </row>
    <row r="64" spans="1:42" ht="15" customHeight="1">
      <c r="A64" s="38" t="s">
        <v>123</v>
      </c>
      <c r="B64" s="38" t="s">
        <v>124</v>
      </c>
      <c r="C64" s="38" t="s">
        <v>65</v>
      </c>
      <c r="D64" s="38" t="s">
        <v>66</v>
      </c>
      <c r="E64" s="39">
        <v>2998.36</v>
      </c>
      <c r="F64" s="39">
        <v>0</v>
      </c>
      <c r="G64" s="39">
        <v>0</v>
      </c>
      <c r="H64" s="40">
        <v>0</v>
      </c>
      <c r="I64" s="40">
        <v>0</v>
      </c>
      <c r="J64" s="40">
        <v>239.87</v>
      </c>
      <c r="K64" s="40">
        <v>0</v>
      </c>
      <c r="L64" s="40">
        <v>0</v>
      </c>
      <c r="M64" s="40">
        <v>0</v>
      </c>
      <c r="N64" s="40">
        <v>0</v>
      </c>
      <c r="O64" s="40">
        <v>2998.36</v>
      </c>
      <c r="P64" s="40">
        <v>0</v>
      </c>
      <c r="Q64" s="40">
        <v>0</v>
      </c>
      <c r="R64" s="40">
        <v>248.39</v>
      </c>
      <c r="S64" s="40">
        <v>0</v>
      </c>
      <c r="T64" s="40">
        <v>0</v>
      </c>
      <c r="U64" s="40">
        <v>0</v>
      </c>
      <c r="V64" s="40">
        <v>2998.36</v>
      </c>
      <c r="W64" s="40">
        <v>0</v>
      </c>
      <c r="X64" s="40">
        <v>0</v>
      </c>
      <c r="Y64" s="40">
        <v>0</v>
      </c>
      <c r="Z64" s="40">
        <v>0</v>
      </c>
      <c r="AA64" s="40">
        <v>111.48</v>
      </c>
      <c r="AB64" s="40">
        <v>599.66999999999996</v>
      </c>
      <c r="AC64" s="40">
        <v>173.9</v>
      </c>
      <c r="AD64" s="40">
        <v>1133.44</v>
      </c>
      <c r="AE64" s="49">
        <f t="shared" si="16"/>
        <v>0</v>
      </c>
      <c r="AF64" s="49">
        <f t="shared" si="17"/>
        <v>9.9999999999909051E-3</v>
      </c>
      <c r="AG64" t="s">
        <v>123</v>
      </c>
      <c r="AH64" s="55">
        <v>2998.36</v>
      </c>
      <c r="AI64">
        <v>239.86</v>
      </c>
      <c r="AJ64" s="49">
        <f t="shared" si="14"/>
        <v>0</v>
      </c>
      <c r="AK64" s="49">
        <f t="shared" si="15"/>
        <v>0</v>
      </c>
      <c r="AL64" t="s">
        <v>123</v>
      </c>
      <c r="AM64" s="81">
        <v>2998.36</v>
      </c>
      <c r="AN64" s="81">
        <v>248.39</v>
      </c>
      <c r="AO64" s="81">
        <v>0</v>
      </c>
      <c r="AP64" s="81">
        <v>0</v>
      </c>
    </row>
    <row r="65" spans="1:42" ht="15" customHeight="1">
      <c r="A65" s="38" t="s">
        <v>125</v>
      </c>
      <c r="B65" s="38" t="s">
        <v>98</v>
      </c>
      <c r="C65" s="38" t="s">
        <v>82</v>
      </c>
      <c r="D65" s="38" t="s">
        <v>66</v>
      </c>
      <c r="E65" s="39">
        <v>487.12</v>
      </c>
      <c r="F65" s="39">
        <v>471.09</v>
      </c>
      <c r="G65" s="39">
        <v>0</v>
      </c>
      <c r="H65" s="40">
        <v>1570.36</v>
      </c>
      <c r="I65" s="40">
        <v>0</v>
      </c>
      <c r="J65" s="40">
        <v>38.97</v>
      </c>
      <c r="K65" s="40">
        <v>37.69</v>
      </c>
      <c r="L65" s="40">
        <v>0</v>
      </c>
      <c r="M65" s="40">
        <v>125.63</v>
      </c>
      <c r="N65" s="40">
        <v>0</v>
      </c>
      <c r="O65" s="40">
        <v>487.12</v>
      </c>
      <c r="P65" s="40">
        <v>1570.36</v>
      </c>
      <c r="Q65" s="40">
        <v>0</v>
      </c>
      <c r="R65" s="40">
        <v>36.53</v>
      </c>
      <c r="S65" s="40">
        <v>117.77</v>
      </c>
      <c r="T65" s="40">
        <v>0</v>
      </c>
      <c r="U65" s="40">
        <v>0</v>
      </c>
      <c r="V65" s="40">
        <v>487.12</v>
      </c>
      <c r="W65" s="40">
        <v>0</v>
      </c>
      <c r="X65" s="40">
        <v>0</v>
      </c>
      <c r="Y65" s="40">
        <v>0</v>
      </c>
      <c r="Z65" s="40">
        <v>0</v>
      </c>
      <c r="AA65" s="40">
        <v>76.5</v>
      </c>
      <c r="AB65" s="40">
        <v>411.5</v>
      </c>
      <c r="AC65" s="40">
        <v>119.33</v>
      </c>
      <c r="AD65" s="40">
        <v>761.62</v>
      </c>
      <c r="AE65" s="49">
        <f t="shared" ref="AE65:AE70" si="18">(E65+F65+G65+H65+I65)-AH65</f>
        <v>2528.5699999999997</v>
      </c>
      <c r="AF65" s="49">
        <f t="shared" ref="AF65:AF70" si="19">(J65+K65+L65+M65+N65)-AI65</f>
        <v>202.29</v>
      </c>
      <c r="AH65" s="55"/>
      <c r="AJ65" s="49">
        <f t="shared" si="14"/>
        <v>0</v>
      </c>
      <c r="AK65" s="49">
        <f t="shared" si="15"/>
        <v>0</v>
      </c>
      <c r="AL65" t="s">
        <v>125</v>
      </c>
      <c r="AM65" s="81">
        <v>487.12</v>
      </c>
      <c r="AN65" s="81">
        <v>36.53</v>
      </c>
      <c r="AO65" s="81">
        <v>1570.36</v>
      </c>
      <c r="AP65" s="81">
        <v>117.77</v>
      </c>
    </row>
    <row r="66" spans="1:42" ht="15" customHeight="1">
      <c r="A66" s="38" t="s">
        <v>126</v>
      </c>
      <c r="B66" s="38" t="s">
        <v>92</v>
      </c>
      <c r="C66" s="38" t="s">
        <v>65</v>
      </c>
      <c r="D66" s="38" t="s">
        <v>66</v>
      </c>
      <c r="E66" s="39">
        <v>4736.2700000000004</v>
      </c>
      <c r="F66" s="39">
        <v>0</v>
      </c>
      <c r="G66" s="39">
        <v>0</v>
      </c>
      <c r="H66" s="40">
        <v>0</v>
      </c>
      <c r="I66" s="40">
        <v>0</v>
      </c>
      <c r="J66" s="40">
        <v>378.9</v>
      </c>
      <c r="K66" s="40">
        <v>0</v>
      </c>
      <c r="L66" s="40">
        <v>0</v>
      </c>
      <c r="M66" s="40">
        <v>0</v>
      </c>
      <c r="N66" s="40">
        <v>0</v>
      </c>
      <c r="O66" s="40">
        <v>4736.2700000000004</v>
      </c>
      <c r="P66" s="40">
        <v>0</v>
      </c>
      <c r="Q66" s="40">
        <v>0</v>
      </c>
      <c r="R66" s="40">
        <v>464.58</v>
      </c>
      <c r="S66" s="40">
        <v>0</v>
      </c>
      <c r="T66" s="40">
        <v>0</v>
      </c>
      <c r="U66" s="40">
        <v>0</v>
      </c>
      <c r="V66" s="40">
        <v>4736.2700000000004</v>
      </c>
      <c r="W66" s="40">
        <v>0</v>
      </c>
      <c r="X66" s="40">
        <v>0</v>
      </c>
      <c r="Y66" s="40">
        <v>0</v>
      </c>
      <c r="Z66" s="40">
        <v>0</v>
      </c>
      <c r="AA66" s="40">
        <v>176.09</v>
      </c>
      <c r="AB66" s="40">
        <v>947.25</v>
      </c>
      <c r="AC66" s="40">
        <v>274.7</v>
      </c>
      <c r="AD66" s="40">
        <v>1862.63</v>
      </c>
      <c r="AE66" s="49">
        <f t="shared" si="18"/>
        <v>0</v>
      </c>
      <c r="AF66" s="49">
        <f t="shared" si="19"/>
        <v>0</v>
      </c>
      <c r="AG66" t="s">
        <v>126</v>
      </c>
      <c r="AH66" s="55">
        <v>4736.2700000000004</v>
      </c>
      <c r="AI66">
        <v>378.9</v>
      </c>
      <c r="AJ66" s="49">
        <f t="shared" si="14"/>
        <v>0</v>
      </c>
      <c r="AK66" s="49">
        <f t="shared" si="15"/>
        <v>0</v>
      </c>
      <c r="AL66" t="s">
        <v>126</v>
      </c>
      <c r="AM66" s="81">
        <v>4736.2700000000004</v>
      </c>
      <c r="AN66" s="81">
        <v>464.58</v>
      </c>
      <c r="AO66" s="81">
        <v>0</v>
      </c>
      <c r="AP66" s="81">
        <v>0</v>
      </c>
    </row>
    <row r="67" spans="1:42" ht="15" customHeight="1">
      <c r="A67" s="38" t="s">
        <v>127</v>
      </c>
      <c r="B67" s="38" t="s">
        <v>68</v>
      </c>
      <c r="C67" s="38" t="s">
        <v>65</v>
      </c>
      <c r="D67" s="38" t="s">
        <v>66</v>
      </c>
      <c r="E67" s="39">
        <v>3589.6</v>
      </c>
      <c r="F67" s="39">
        <v>0</v>
      </c>
      <c r="G67" s="39">
        <v>0</v>
      </c>
      <c r="H67" s="40">
        <v>0</v>
      </c>
      <c r="I67" s="40">
        <v>0</v>
      </c>
      <c r="J67" s="40">
        <v>287.17</v>
      </c>
      <c r="K67" s="40">
        <v>0</v>
      </c>
      <c r="L67" s="40">
        <v>0</v>
      </c>
      <c r="M67" s="40">
        <v>0</v>
      </c>
      <c r="N67" s="40">
        <v>0</v>
      </c>
      <c r="O67" s="40">
        <v>3589.6</v>
      </c>
      <c r="P67" s="40">
        <v>0</v>
      </c>
      <c r="Q67" s="40">
        <v>0</v>
      </c>
      <c r="R67" s="40">
        <v>319.33999999999997</v>
      </c>
      <c r="S67" s="40">
        <v>0</v>
      </c>
      <c r="T67" s="40">
        <v>0</v>
      </c>
      <c r="U67" s="40">
        <v>0</v>
      </c>
      <c r="V67" s="40">
        <v>3589.6</v>
      </c>
      <c r="W67" s="40">
        <v>0</v>
      </c>
      <c r="X67" s="40">
        <v>0</v>
      </c>
      <c r="Y67" s="40">
        <v>0</v>
      </c>
      <c r="Z67" s="40">
        <v>0</v>
      </c>
      <c r="AA67" s="40">
        <v>133.46</v>
      </c>
      <c r="AB67" s="40">
        <v>717.92</v>
      </c>
      <c r="AC67" s="40">
        <v>208.2</v>
      </c>
      <c r="AD67" s="40">
        <v>1378.91</v>
      </c>
      <c r="AE67" s="49">
        <f t="shared" si="18"/>
        <v>0</v>
      </c>
      <c r="AF67" s="49">
        <f t="shared" si="19"/>
        <v>9.9999999999909051E-3</v>
      </c>
      <c r="AG67" t="s">
        <v>127</v>
      </c>
      <c r="AH67" s="55">
        <v>3589.6</v>
      </c>
      <c r="AI67">
        <v>287.16000000000003</v>
      </c>
      <c r="AJ67" s="49">
        <f t="shared" si="14"/>
        <v>0</v>
      </c>
      <c r="AK67" s="49">
        <f t="shared" si="15"/>
        <v>0</v>
      </c>
      <c r="AL67" t="s">
        <v>127</v>
      </c>
      <c r="AM67" s="81">
        <v>3589.6</v>
      </c>
      <c r="AN67" s="81">
        <v>319.33999999999997</v>
      </c>
      <c r="AO67" s="81">
        <v>0</v>
      </c>
      <c r="AP67" s="81">
        <v>0</v>
      </c>
    </row>
    <row r="68" spans="1:42" ht="15" customHeight="1">
      <c r="A68" s="38" t="s">
        <v>128</v>
      </c>
      <c r="B68" s="38" t="s">
        <v>68</v>
      </c>
      <c r="C68" s="38" t="s">
        <v>65</v>
      </c>
      <c r="D68" s="38" t="s">
        <v>66</v>
      </c>
      <c r="E68" s="39">
        <v>3864.39</v>
      </c>
      <c r="F68" s="39">
        <v>0</v>
      </c>
      <c r="G68" s="39">
        <v>0</v>
      </c>
      <c r="H68" s="40">
        <v>0</v>
      </c>
      <c r="I68" s="40">
        <v>0</v>
      </c>
      <c r="J68" s="40">
        <v>309.14999999999998</v>
      </c>
      <c r="K68" s="40">
        <v>0</v>
      </c>
      <c r="L68" s="40">
        <v>0</v>
      </c>
      <c r="M68" s="40">
        <v>0</v>
      </c>
      <c r="N68" s="40">
        <v>0</v>
      </c>
      <c r="O68" s="40">
        <v>3864.39</v>
      </c>
      <c r="P68" s="40">
        <v>0</v>
      </c>
      <c r="Q68" s="40">
        <v>0</v>
      </c>
      <c r="R68" s="40">
        <v>352.31</v>
      </c>
      <c r="S68" s="40">
        <v>0</v>
      </c>
      <c r="T68" s="40">
        <v>0</v>
      </c>
      <c r="U68" s="40">
        <v>0</v>
      </c>
      <c r="V68" s="40">
        <v>3864.39</v>
      </c>
      <c r="W68" s="40">
        <v>0</v>
      </c>
      <c r="X68" s="40">
        <v>0</v>
      </c>
      <c r="Y68" s="40">
        <v>0</v>
      </c>
      <c r="Z68" s="40">
        <v>0</v>
      </c>
      <c r="AA68" s="40">
        <v>143.66999999999999</v>
      </c>
      <c r="AB68" s="40">
        <v>772.88</v>
      </c>
      <c r="AC68" s="40">
        <v>224.13</v>
      </c>
      <c r="AD68" s="40">
        <v>1493</v>
      </c>
      <c r="AE68" s="49">
        <f t="shared" si="18"/>
        <v>0</v>
      </c>
      <c r="AF68" s="49">
        <f t="shared" si="19"/>
        <v>0</v>
      </c>
      <c r="AG68" t="s">
        <v>128</v>
      </c>
      <c r="AH68" s="55">
        <v>3864.39</v>
      </c>
      <c r="AI68">
        <v>309.14999999999998</v>
      </c>
      <c r="AJ68" s="49">
        <f t="shared" si="14"/>
        <v>0</v>
      </c>
      <c r="AK68" s="49">
        <f t="shared" si="15"/>
        <v>0</v>
      </c>
      <c r="AL68" t="s">
        <v>128</v>
      </c>
      <c r="AM68" s="81">
        <v>3864.39</v>
      </c>
      <c r="AN68" s="81">
        <v>352.31</v>
      </c>
      <c r="AO68" s="81">
        <v>0</v>
      </c>
      <c r="AP68" s="81">
        <v>0</v>
      </c>
    </row>
    <row r="69" spans="1:42" ht="15" customHeight="1">
      <c r="A69" s="38" t="s">
        <v>129</v>
      </c>
      <c r="B69" s="38" t="s">
        <v>68</v>
      </c>
      <c r="C69" s="38" t="s">
        <v>65</v>
      </c>
      <c r="D69" s="38" t="s">
        <v>66</v>
      </c>
      <c r="E69" s="39">
        <v>6305.06</v>
      </c>
      <c r="F69" s="39">
        <v>0</v>
      </c>
      <c r="G69" s="39">
        <v>0</v>
      </c>
      <c r="H69" s="40">
        <v>0</v>
      </c>
      <c r="I69" s="40">
        <v>0</v>
      </c>
      <c r="J69" s="40">
        <v>504.4</v>
      </c>
      <c r="K69" s="40">
        <v>0</v>
      </c>
      <c r="L69" s="40">
        <v>0</v>
      </c>
      <c r="M69" s="40">
        <v>0</v>
      </c>
      <c r="N69" s="40">
        <v>0</v>
      </c>
      <c r="O69" s="40">
        <v>6305.06</v>
      </c>
      <c r="P69" s="40">
        <v>0</v>
      </c>
      <c r="Q69" s="40">
        <v>0</v>
      </c>
      <c r="R69" s="40">
        <v>684.21</v>
      </c>
      <c r="S69" s="40">
        <v>0</v>
      </c>
      <c r="T69" s="40">
        <v>0</v>
      </c>
      <c r="U69" s="40">
        <v>0</v>
      </c>
      <c r="V69" s="40">
        <v>6305.06</v>
      </c>
      <c r="W69" s="40">
        <v>0</v>
      </c>
      <c r="X69" s="40">
        <v>497.87</v>
      </c>
      <c r="Y69" s="40">
        <v>0</v>
      </c>
      <c r="Z69" s="40">
        <v>0</v>
      </c>
      <c r="AA69" s="40">
        <v>234.42</v>
      </c>
      <c r="AB69" s="40">
        <v>1261.01</v>
      </c>
      <c r="AC69" s="40">
        <v>365.69</v>
      </c>
      <c r="AD69" s="40">
        <v>2545.33</v>
      </c>
      <c r="AE69" s="49">
        <f t="shared" si="18"/>
        <v>0</v>
      </c>
      <c r="AF69" s="49">
        <f t="shared" si="19"/>
        <v>0</v>
      </c>
      <c r="AG69" t="s">
        <v>129</v>
      </c>
      <c r="AH69" s="55">
        <v>6305.06</v>
      </c>
      <c r="AI69">
        <v>504.4</v>
      </c>
      <c r="AJ69" s="49">
        <f t="shared" si="14"/>
        <v>0</v>
      </c>
      <c r="AK69" s="49">
        <f t="shared" si="15"/>
        <v>0</v>
      </c>
      <c r="AL69" t="s">
        <v>129</v>
      </c>
      <c r="AM69" s="81">
        <v>6305.06</v>
      </c>
      <c r="AN69" s="81">
        <v>684.21</v>
      </c>
      <c r="AO69" s="81">
        <v>0</v>
      </c>
      <c r="AP69" s="81">
        <v>0</v>
      </c>
    </row>
    <row r="70" spans="1:42" ht="15" customHeight="1">
      <c r="A70" s="38" t="s">
        <v>130</v>
      </c>
      <c r="B70" s="38" t="s">
        <v>68</v>
      </c>
      <c r="C70" s="38" t="s">
        <v>65</v>
      </c>
      <c r="D70" s="38" t="s">
        <v>66</v>
      </c>
      <c r="E70" s="39">
        <v>3780.92</v>
      </c>
      <c r="F70" s="39">
        <v>0</v>
      </c>
      <c r="G70" s="39">
        <v>0</v>
      </c>
      <c r="H70" s="40">
        <v>0</v>
      </c>
      <c r="I70" s="40">
        <v>0</v>
      </c>
      <c r="J70" s="40">
        <v>302.47000000000003</v>
      </c>
      <c r="K70" s="40">
        <v>0</v>
      </c>
      <c r="L70" s="40">
        <v>0</v>
      </c>
      <c r="M70" s="40">
        <v>0</v>
      </c>
      <c r="N70" s="40">
        <v>0</v>
      </c>
      <c r="O70" s="40">
        <v>3780.92</v>
      </c>
      <c r="P70" s="40">
        <v>0</v>
      </c>
      <c r="Q70" s="40">
        <v>0</v>
      </c>
      <c r="R70" s="40">
        <v>342.29</v>
      </c>
      <c r="S70" s="40">
        <v>0</v>
      </c>
      <c r="T70" s="40">
        <v>0</v>
      </c>
      <c r="U70" s="40">
        <v>0</v>
      </c>
      <c r="V70" s="40">
        <v>3780.92</v>
      </c>
      <c r="W70" s="40">
        <v>0</v>
      </c>
      <c r="X70" s="40">
        <v>0</v>
      </c>
      <c r="Y70" s="40">
        <v>0</v>
      </c>
      <c r="Z70" s="40">
        <v>0</v>
      </c>
      <c r="AA70" s="40">
        <v>140.57</v>
      </c>
      <c r="AB70" s="40">
        <v>756.18</v>
      </c>
      <c r="AC70" s="40">
        <v>219.29</v>
      </c>
      <c r="AD70" s="40">
        <v>1458.34</v>
      </c>
      <c r="AE70" s="49">
        <f t="shared" si="18"/>
        <v>0</v>
      </c>
      <c r="AF70" s="49">
        <f t="shared" si="19"/>
        <v>0</v>
      </c>
      <c r="AG70" t="s">
        <v>130</v>
      </c>
      <c r="AH70" s="55">
        <v>3780.92</v>
      </c>
      <c r="AI70">
        <v>302.47000000000003</v>
      </c>
      <c r="AJ70" s="49">
        <f t="shared" si="14"/>
        <v>0</v>
      </c>
      <c r="AK70" s="49">
        <f t="shared" si="15"/>
        <v>0</v>
      </c>
      <c r="AL70" t="s">
        <v>130</v>
      </c>
      <c r="AM70" s="81">
        <v>3780.92</v>
      </c>
      <c r="AN70" s="81">
        <v>342.29</v>
      </c>
      <c r="AO70" s="81">
        <v>0</v>
      </c>
      <c r="AP70" s="81">
        <v>0</v>
      </c>
    </row>
    <row r="71" spans="1:42" ht="15" customHeight="1">
      <c r="A71" s="38" t="s">
        <v>131</v>
      </c>
      <c r="B71" s="38" t="s">
        <v>68</v>
      </c>
      <c r="C71" s="38" t="s">
        <v>82</v>
      </c>
      <c r="D71" s="38" t="s">
        <v>66</v>
      </c>
      <c r="E71" s="39">
        <v>2666.62</v>
      </c>
      <c r="F71" s="39">
        <v>3376.78</v>
      </c>
      <c r="G71" s="39">
        <v>288.63</v>
      </c>
      <c r="H71" s="40">
        <v>2597.63</v>
      </c>
      <c r="I71" s="40">
        <v>0</v>
      </c>
      <c r="J71" s="40">
        <v>213.33</v>
      </c>
      <c r="K71" s="40">
        <v>270.14</v>
      </c>
      <c r="L71" s="40">
        <v>23.09</v>
      </c>
      <c r="M71" s="40">
        <v>207.81</v>
      </c>
      <c r="N71" s="40">
        <v>0</v>
      </c>
      <c r="O71" s="40">
        <v>2666.62</v>
      </c>
      <c r="P71" s="40">
        <v>2886.26</v>
      </c>
      <c r="Q71" s="40">
        <v>0</v>
      </c>
      <c r="R71" s="40">
        <v>215.67</v>
      </c>
      <c r="S71" s="40">
        <v>235.44</v>
      </c>
      <c r="T71" s="40">
        <v>0</v>
      </c>
      <c r="U71" s="40">
        <v>0</v>
      </c>
      <c r="V71" s="40">
        <v>2666.62</v>
      </c>
      <c r="W71" s="40">
        <v>0</v>
      </c>
      <c r="X71" s="40">
        <v>0</v>
      </c>
      <c r="Y71" s="40">
        <v>0</v>
      </c>
      <c r="Z71" s="40">
        <v>0</v>
      </c>
      <c r="AA71" s="40">
        <v>206.45</v>
      </c>
      <c r="AB71" s="40">
        <v>1110.58</v>
      </c>
      <c r="AC71" s="40">
        <v>322.07</v>
      </c>
      <c r="AD71" s="40">
        <v>2090.1999999999998</v>
      </c>
      <c r="AE71" s="49">
        <f t="shared" ref="AE71:AE83" si="20">(E71+F71+G71+H71+I71)-AH71</f>
        <v>8929.66</v>
      </c>
      <c r="AF71" s="49">
        <f t="shared" ref="AF71:AF83" si="21">(J71+K71+L71+M71+N71)-AI71</f>
        <v>714.37</v>
      </c>
      <c r="AH71" s="55"/>
      <c r="AJ71" s="49">
        <f t="shared" si="14"/>
        <v>0</v>
      </c>
      <c r="AK71" s="49">
        <f t="shared" si="15"/>
        <v>0</v>
      </c>
      <c r="AL71" t="s">
        <v>131</v>
      </c>
      <c r="AM71" s="81">
        <v>2666.62</v>
      </c>
      <c r="AN71" s="81">
        <v>215.67</v>
      </c>
      <c r="AO71" s="81">
        <v>2886.26</v>
      </c>
      <c r="AP71" s="81">
        <v>235.44</v>
      </c>
    </row>
    <row r="72" spans="1:42" ht="15" customHeight="1">
      <c r="A72" s="38" t="s">
        <v>132</v>
      </c>
      <c r="B72" s="38" t="s">
        <v>68</v>
      </c>
      <c r="C72" s="38" t="s">
        <v>65</v>
      </c>
      <c r="D72" s="38" t="s">
        <v>66</v>
      </c>
      <c r="E72" s="39">
        <v>3345.93</v>
      </c>
      <c r="F72" s="39">
        <v>0</v>
      </c>
      <c r="G72" s="39">
        <v>0</v>
      </c>
      <c r="H72" s="40">
        <v>0</v>
      </c>
      <c r="I72" s="40">
        <v>0</v>
      </c>
      <c r="J72" s="40">
        <v>267.67</v>
      </c>
      <c r="K72" s="40">
        <v>0</v>
      </c>
      <c r="L72" s="40">
        <v>0</v>
      </c>
      <c r="M72" s="40">
        <v>0</v>
      </c>
      <c r="N72" s="40">
        <v>0</v>
      </c>
      <c r="O72" s="40">
        <v>3345.93</v>
      </c>
      <c r="P72" s="40">
        <v>0</v>
      </c>
      <c r="Q72" s="40">
        <v>0</v>
      </c>
      <c r="R72" s="40">
        <v>290.10000000000002</v>
      </c>
      <c r="S72" s="40">
        <v>0</v>
      </c>
      <c r="T72" s="40">
        <v>0</v>
      </c>
      <c r="U72" s="40">
        <v>0</v>
      </c>
      <c r="V72" s="40">
        <v>3345.93</v>
      </c>
      <c r="W72" s="40">
        <v>0</v>
      </c>
      <c r="X72" s="40">
        <v>0</v>
      </c>
      <c r="Y72" s="40">
        <v>0</v>
      </c>
      <c r="Z72" s="40">
        <v>0</v>
      </c>
      <c r="AA72" s="40">
        <v>124.4</v>
      </c>
      <c r="AB72" s="40">
        <v>669.19</v>
      </c>
      <c r="AC72" s="40">
        <v>194.06</v>
      </c>
      <c r="AD72" s="40">
        <v>1277.75</v>
      </c>
      <c r="AE72" s="49">
        <f t="shared" si="20"/>
        <v>0</v>
      </c>
      <c r="AF72" s="49">
        <f t="shared" si="21"/>
        <v>0</v>
      </c>
      <c r="AG72" t="s">
        <v>132</v>
      </c>
      <c r="AH72" s="55">
        <v>3345.93</v>
      </c>
      <c r="AI72">
        <v>267.67</v>
      </c>
      <c r="AJ72" s="49">
        <f t="shared" si="14"/>
        <v>0</v>
      </c>
      <c r="AK72" s="49">
        <f t="shared" si="15"/>
        <v>0</v>
      </c>
      <c r="AL72" t="s">
        <v>132</v>
      </c>
      <c r="AM72" s="81">
        <v>3345.93</v>
      </c>
      <c r="AN72" s="81">
        <v>290.10000000000002</v>
      </c>
      <c r="AO72" s="81">
        <v>0</v>
      </c>
      <c r="AP72" s="81">
        <v>0</v>
      </c>
    </row>
    <row r="73" spans="1:42" ht="15" customHeight="1">
      <c r="A73" s="38" t="s">
        <v>133</v>
      </c>
      <c r="B73" s="38" t="s">
        <v>134</v>
      </c>
      <c r="C73" s="38" t="s">
        <v>82</v>
      </c>
      <c r="D73" s="38" t="s">
        <v>66</v>
      </c>
      <c r="E73" s="39">
        <v>1482.31</v>
      </c>
      <c r="F73" s="39">
        <v>0</v>
      </c>
      <c r="G73" s="39">
        <v>0</v>
      </c>
      <c r="H73" s="40">
        <v>2051.25</v>
      </c>
      <c r="I73" s="40">
        <v>0</v>
      </c>
      <c r="J73" s="40">
        <v>118.58</v>
      </c>
      <c r="K73" s="40">
        <v>0</v>
      </c>
      <c r="L73" s="40">
        <v>0</v>
      </c>
      <c r="M73" s="40">
        <v>164.1</v>
      </c>
      <c r="N73" s="40">
        <v>0</v>
      </c>
      <c r="O73" s="40">
        <v>1482.31</v>
      </c>
      <c r="P73" s="40">
        <v>2051.25</v>
      </c>
      <c r="Q73" s="40">
        <v>0</v>
      </c>
      <c r="R73" s="40">
        <v>111.17</v>
      </c>
      <c r="S73" s="40">
        <v>160.29</v>
      </c>
      <c r="T73" s="40">
        <v>0</v>
      </c>
      <c r="U73" s="40">
        <v>0</v>
      </c>
      <c r="V73" s="40">
        <v>1482.31</v>
      </c>
      <c r="W73" s="40">
        <v>0</v>
      </c>
      <c r="X73" s="40">
        <v>0</v>
      </c>
      <c r="Y73" s="40">
        <v>0</v>
      </c>
      <c r="Z73" s="40">
        <v>0</v>
      </c>
      <c r="AA73" s="40">
        <v>131.37</v>
      </c>
      <c r="AB73" s="40">
        <v>706.71</v>
      </c>
      <c r="AC73" s="40">
        <v>204.95</v>
      </c>
      <c r="AD73" s="40">
        <v>1314.49</v>
      </c>
      <c r="AE73" s="49">
        <f t="shared" si="20"/>
        <v>0</v>
      </c>
      <c r="AF73" s="49">
        <f t="shared" si="21"/>
        <v>0</v>
      </c>
      <c r="AG73" t="s">
        <v>133</v>
      </c>
      <c r="AH73" s="55">
        <v>3533.56</v>
      </c>
      <c r="AI73">
        <v>282.68</v>
      </c>
      <c r="AJ73" s="49">
        <f t="shared" si="14"/>
        <v>0</v>
      </c>
      <c r="AK73" s="49">
        <f t="shared" si="15"/>
        <v>0</v>
      </c>
      <c r="AL73" t="s">
        <v>133</v>
      </c>
      <c r="AM73" s="81">
        <v>1482.31</v>
      </c>
      <c r="AN73" s="81">
        <v>111.17</v>
      </c>
      <c r="AO73" s="81">
        <v>2051.25</v>
      </c>
      <c r="AP73" s="81">
        <v>160.29</v>
      </c>
    </row>
    <row r="74" spans="1:42" ht="15" customHeight="1">
      <c r="A74" s="38" t="s">
        <v>135</v>
      </c>
      <c r="B74" s="38" t="s">
        <v>124</v>
      </c>
      <c r="C74" s="38" t="s">
        <v>65</v>
      </c>
      <c r="D74" s="38" t="s">
        <v>66</v>
      </c>
      <c r="E74" s="39">
        <v>3016.88</v>
      </c>
      <c r="F74" s="39">
        <v>0</v>
      </c>
      <c r="G74" s="39">
        <v>0</v>
      </c>
      <c r="H74" s="40">
        <v>0</v>
      </c>
      <c r="I74" s="40">
        <v>0</v>
      </c>
      <c r="J74" s="40">
        <v>241.35</v>
      </c>
      <c r="K74" s="40">
        <v>0</v>
      </c>
      <c r="L74" s="40">
        <v>0</v>
      </c>
      <c r="M74" s="40">
        <v>0</v>
      </c>
      <c r="N74" s="40">
        <v>0</v>
      </c>
      <c r="O74" s="40">
        <v>3016.88</v>
      </c>
      <c r="P74" s="40">
        <v>0</v>
      </c>
      <c r="Q74" s="40">
        <v>0</v>
      </c>
      <c r="R74" s="40">
        <v>250.61</v>
      </c>
      <c r="S74" s="40">
        <v>0</v>
      </c>
      <c r="T74" s="40">
        <v>0</v>
      </c>
      <c r="U74" s="40">
        <v>0</v>
      </c>
      <c r="V74" s="40">
        <v>3016.88</v>
      </c>
      <c r="W74" s="40">
        <v>0</v>
      </c>
      <c r="X74" s="40">
        <v>0</v>
      </c>
      <c r="Y74" s="40">
        <v>0</v>
      </c>
      <c r="Z74" s="40">
        <v>0</v>
      </c>
      <c r="AA74" s="40">
        <v>112.16</v>
      </c>
      <c r="AB74" s="40">
        <v>603.38</v>
      </c>
      <c r="AC74" s="40">
        <v>174.98</v>
      </c>
      <c r="AD74" s="40">
        <v>1141.1300000000001</v>
      </c>
      <c r="AE74" s="49">
        <f t="shared" si="20"/>
        <v>0</v>
      </c>
      <c r="AF74" s="49">
        <f t="shared" si="21"/>
        <v>0</v>
      </c>
      <c r="AG74" t="s">
        <v>135</v>
      </c>
      <c r="AH74" s="55">
        <v>3016.88</v>
      </c>
      <c r="AI74">
        <v>241.35</v>
      </c>
      <c r="AJ74" s="49">
        <f t="shared" si="14"/>
        <v>0</v>
      </c>
      <c r="AK74" s="49">
        <f t="shared" si="15"/>
        <v>0</v>
      </c>
      <c r="AL74" t="s">
        <v>135</v>
      </c>
      <c r="AM74" s="81">
        <v>3016.88</v>
      </c>
      <c r="AN74" s="81">
        <v>250.61</v>
      </c>
      <c r="AO74" s="81">
        <v>0</v>
      </c>
      <c r="AP74" s="81">
        <v>0</v>
      </c>
    </row>
    <row r="75" spans="1:42" ht="15" customHeight="1">
      <c r="A75" s="38" t="s">
        <v>136</v>
      </c>
      <c r="B75" s="38" t="s">
        <v>68</v>
      </c>
      <c r="C75" s="38" t="s">
        <v>65</v>
      </c>
      <c r="D75" s="38" t="s">
        <v>66</v>
      </c>
      <c r="E75" s="39">
        <v>3281.61</v>
      </c>
      <c r="F75" s="39">
        <v>0</v>
      </c>
      <c r="G75" s="39">
        <v>0</v>
      </c>
      <c r="H75" s="40">
        <v>0</v>
      </c>
      <c r="I75" s="40">
        <v>0</v>
      </c>
      <c r="J75" s="40">
        <v>262.52999999999997</v>
      </c>
      <c r="K75" s="40">
        <v>0</v>
      </c>
      <c r="L75" s="40">
        <v>0</v>
      </c>
      <c r="M75" s="40">
        <v>0</v>
      </c>
      <c r="N75" s="40">
        <v>0</v>
      </c>
      <c r="O75" s="40">
        <v>3281.61</v>
      </c>
      <c r="P75" s="40">
        <v>0</v>
      </c>
      <c r="Q75" s="40">
        <v>0</v>
      </c>
      <c r="R75" s="40">
        <v>282.38</v>
      </c>
      <c r="S75" s="40">
        <v>0</v>
      </c>
      <c r="T75" s="40">
        <v>0</v>
      </c>
      <c r="U75" s="40">
        <v>0</v>
      </c>
      <c r="V75" s="40">
        <v>3281.61</v>
      </c>
      <c r="W75" s="40">
        <v>0</v>
      </c>
      <c r="X75" s="40">
        <v>0</v>
      </c>
      <c r="Y75" s="40">
        <v>0</v>
      </c>
      <c r="Z75" s="40">
        <v>0</v>
      </c>
      <c r="AA75" s="40">
        <v>122.01</v>
      </c>
      <c r="AB75" s="40">
        <v>656.32</v>
      </c>
      <c r="AC75" s="40">
        <v>190.33</v>
      </c>
      <c r="AD75" s="40">
        <v>1251.04</v>
      </c>
      <c r="AE75" s="49">
        <f t="shared" si="20"/>
        <v>0</v>
      </c>
      <c r="AF75" s="49">
        <f t="shared" si="21"/>
        <v>9.9999999999909051E-3</v>
      </c>
      <c r="AG75" t="s">
        <v>136</v>
      </c>
      <c r="AH75" s="55">
        <v>3281.61</v>
      </c>
      <c r="AI75">
        <v>262.52</v>
      </c>
      <c r="AJ75" s="49">
        <f t="shared" si="14"/>
        <v>0</v>
      </c>
      <c r="AK75" s="49">
        <f t="shared" si="15"/>
        <v>0</v>
      </c>
      <c r="AL75" t="s">
        <v>136</v>
      </c>
      <c r="AM75" s="81">
        <v>3281.61</v>
      </c>
      <c r="AN75" s="81">
        <v>282.38</v>
      </c>
      <c r="AO75" s="81">
        <v>0</v>
      </c>
      <c r="AP75" s="81">
        <v>0</v>
      </c>
    </row>
    <row r="76" spans="1:42" ht="15" customHeight="1">
      <c r="A76" s="38" t="s">
        <v>137</v>
      </c>
      <c r="B76" s="38" t="s">
        <v>108</v>
      </c>
      <c r="C76" s="38" t="s">
        <v>65</v>
      </c>
      <c r="D76" s="38" t="s">
        <v>66</v>
      </c>
      <c r="E76" s="39">
        <v>2911.87</v>
      </c>
      <c r="F76" s="39">
        <v>0</v>
      </c>
      <c r="G76" s="39">
        <v>0</v>
      </c>
      <c r="H76" s="40">
        <v>0</v>
      </c>
      <c r="I76" s="40">
        <v>0</v>
      </c>
      <c r="J76" s="40">
        <v>232.95</v>
      </c>
      <c r="K76" s="40">
        <v>0</v>
      </c>
      <c r="L76" s="40">
        <v>0</v>
      </c>
      <c r="M76" s="40">
        <v>0</v>
      </c>
      <c r="N76" s="40">
        <v>0</v>
      </c>
      <c r="O76" s="40">
        <v>2911.87</v>
      </c>
      <c r="P76" s="40">
        <v>0</v>
      </c>
      <c r="Q76" s="40">
        <v>0</v>
      </c>
      <c r="R76" s="40">
        <v>238.01</v>
      </c>
      <c r="S76" s="40">
        <v>0</v>
      </c>
      <c r="T76" s="40">
        <v>0</v>
      </c>
      <c r="U76" s="40">
        <v>0</v>
      </c>
      <c r="V76" s="40">
        <v>2911.87</v>
      </c>
      <c r="W76" s="40">
        <v>0</v>
      </c>
      <c r="X76" s="40">
        <v>0</v>
      </c>
      <c r="Y76" s="40">
        <v>0</v>
      </c>
      <c r="Z76" s="40">
        <v>0</v>
      </c>
      <c r="AA76" s="40">
        <v>108.26</v>
      </c>
      <c r="AB76" s="40">
        <v>582.37</v>
      </c>
      <c r="AC76" s="40">
        <v>168.89</v>
      </c>
      <c r="AD76" s="40">
        <v>1097.53</v>
      </c>
      <c r="AE76" s="49">
        <f t="shared" si="20"/>
        <v>0</v>
      </c>
      <c r="AF76" s="49">
        <f t="shared" si="21"/>
        <v>9.9999999999909051E-3</v>
      </c>
      <c r="AG76" t="s">
        <v>137</v>
      </c>
      <c r="AH76" s="55">
        <v>2911.87</v>
      </c>
      <c r="AI76">
        <v>232.94</v>
      </c>
      <c r="AJ76" s="49">
        <f t="shared" si="14"/>
        <v>0</v>
      </c>
      <c r="AK76" s="49">
        <f t="shared" si="15"/>
        <v>0</v>
      </c>
      <c r="AL76" t="s">
        <v>443</v>
      </c>
      <c r="AM76" s="81">
        <v>2911.87</v>
      </c>
      <c r="AN76" s="81">
        <v>238.01</v>
      </c>
      <c r="AO76" s="81">
        <v>0</v>
      </c>
      <c r="AP76" s="81">
        <v>0</v>
      </c>
    </row>
    <row r="77" spans="1:42" ht="15" customHeight="1">
      <c r="A77" s="38" t="s">
        <v>138</v>
      </c>
      <c r="B77" s="38" t="s">
        <v>71</v>
      </c>
      <c r="C77" s="38" t="s">
        <v>65</v>
      </c>
      <c r="D77" s="38" t="s">
        <v>66</v>
      </c>
      <c r="E77" s="39">
        <v>2354.0100000000002</v>
      </c>
      <c r="F77" s="39">
        <v>0</v>
      </c>
      <c r="G77" s="39">
        <v>0</v>
      </c>
      <c r="H77" s="40">
        <v>0</v>
      </c>
      <c r="I77" s="40">
        <v>0</v>
      </c>
      <c r="J77" s="40">
        <v>188.32</v>
      </c>
      <c r="K77" s="40">
        <v>0</v>
      </c>
      <c r="L77" s="40">
        <v>0</v>
      </c>
      <c r="M77" s="40">
        <v>0</v>
      </c>
      <c r="N77" s="40">
        <v>0</v>
      </c>
      <c r="O77" s="40">
        <v>2354.0100000000002</v>
      </c>
      <c r="P77" s="40">
        <v>0</v>
      </c>
      <c r="Q77" s="40">
        <v>0</v>
      </c>
      <c r="R77" s="40">
        <v>187.54</v>
      </c>
      <c r="S77" s="40">
        <v>0</v>
      </c>
      <c r="T77" s="40">
        <v>0</v>
      </c>
      <c r="U77" s="40">
        <v>0</v>
      </c>
      <c r="V77" s="40">
        <v>2354.0100000000002</v>
      </c>
      <c r="W77" s="40">
        <v>0</v>
      </c>
      <c r="X77" s="40">
        <v>0</v>
      </c>
      <c r="Y77" s="40">
        <v>0</v>
      </c>
      <c r="Z77" s="40">
        <v>0</v>
      </c>
      <c r="AA77" s="40">
        <v>87.52</v>
      </c>
      <c r="AB77" s="40">
        <v>470.8</v>
      </c>
      <c r="AC77" s="40">
        <v>136.53</v>
      </c>
      <c r="AD77" s="40">
        <v>882.39</v>
      </c>
      <c r="AE77" s="49">
        <f t="shared" si="20"/>
        <v>0</v>
      </c>
      <c r="AF77" s="49">
        <f t="shared" si="21"/>
        <v>0</v>
      </c>
      <c r="AG77" t="s">
        <v>138</v>
      </c>
      <c r="AH77" s="55">
        <v>2354.0100000000002</v>
      </c>
      <c r="AI77">
        <v>188.32</v>
      </c>
      <c r="AJ77" s="49">
        <f t="shared" si="14"/>
        <v>0</v>
      </c>
      <c r="AK77" s="49">
        <f t="shared" si="15"/>
        <v>0</v>
      </c>
      <c r="AL77" t="s">
        <v>138</v>
      </c>
      <c r="AM77" s="81">
        <v>2354.0100000000002</v>
      </c>
      <c r="AN77" s="81">
        <v>187.54</v>
      </c>
      <c r="AO77" s="81">
        <v>0</v>
      </c>
      <c r="AP77" s="81">
        <v>0</v>
      </c>
    </row>
    <row r="78" spans="1:42" ht="15" customHeight="1">
      <c r="A78" s="38" t="s">
        <v>139</v>
      </c>
      <c r="B78" s="38" t="s">
        <v>108</v>
      </c>
      <c r="C78" s="38" t="s">
        <v>65</v>
      </c>
      <c r="D78" s="38" t="s">
        <v>109</v>
      </c>
      <c r="E78" s="39">
        <v>641.41999999999996</v>
      </c>
      <c r="F78" s="39">
        <v>0</v>
      </c>
      <c r="G78" s="39">
        <v>0</v>
      </c>
      <c r="H78" s="40">
        <v>0</v>
      </c>
      <c r="I78" s="40">
        <v>0</v>
      </c>
      <c r="J78" s="40">
        <v>12.83</v>
      </c>
      <c r="K78" s="40">
        <v>0</v>
      </c>
      <c r="L78" s="40">
        <v>0</v>
      </c>
      <c r="M78" s="40">
        <v>0</v>
      </c>
      <c r="N78" s="40">
        <v>0</v>
      </c>
      <c r="O78" s="40">
        <v>641.41999999999996</v>
      </c>
      <c r="P78" s="40">
        <v>0</v>
      </c>
      <c r="Q78" s="40">
        <v>0</v>
      </c>
      <c r="R78" s="40">
        <v>48.1</v>
      </c>
      <c r="S78" s="40">
        <v>0</v>
      </c>
      <c r="T78" s="40">
        <v>0</v>
      </c>
      <c r="U78" s="40">
        <v>0</v>
      </c>
      <c r="V78" s="40">
        <v>641.41999999999996</v>
      </c>
      <c r="W78" s="40">
        <v>0</v>
      </c>
      <c r="X78" s="40">
        <v>0</v>
      </c>
      <c r="Y78" s="40">
        <v>0</v>
      </c>
      <c r="Z78" s="40">
        <v>0</v>
      </c>
      <c r="AA78" s="40">
        <v>23.85</v>
      </c>
      <c r="AB78" s="40">
        <v>128.28</v>
      </c>
      <c r="AC78" s="40">
        <v>37.200000000000003</v>
      </c>
      <c r="AD78" s="40">
        <v>237.43</v>
      </c>
      <c r="AE78" s="49">
        <f t="shared" si="20"/>
        <v>0</v>
      </c>
      <c r="AF78" s="49">
        <f t="shared" si="21"/>
        <v>9.9999999999997868E-3</v>
      </c>
      <c r="AG78" t="s">
        <v>139</v>
      </c>
      <c r="AH78">
        <v>641.41999999999996</v>
      </c>
      <c r="AI78">
        <v>12.82</v>
      </c>
      <c r="AJ78" s="49">
        <f t="shared" si="14"/>
        <v>0</v>
      </c>
      <c r="AK78" s="49">
        <f t="shared" si="15"/>
        <v>0</v>
      </c>
      <c r="AL78" t="s">
        <v>139</v>
      </c>
      <c r="AM78" s="81">
        <v>641.41999999999996</v>
      </c>
      <c r="AN78" s="81">
        <v>48.1</v>
      </c>
      <c r="AO78" s="81">
        <v>0</v>
      </c>
      <c r="AP78" s="81">
        <v>0</v>
      </c>
    </row>
    <row r="79" spans="1:42" ht="15" customHeight="1">
      <c r="A79" s="38" t="s">
        <v>140</v>
      </c>
      <c r="B79" s="38" t="s">
        <v>134</v>
      </c>
      <c r="C79" s="38" t="s">
        <v>65</v>
      </c>
      <c r="D79" s="38" t="s">
        <v>66</v>
      </c>
      <c r="E79" s="39">
        <v>470.8</v>
      </c>
      <c r="F79" s="39">
        <v>0</v>
      </c>
      <c r="G79" s="39">
        <v>0</v>
      </c>
      <c r="H79" s="40">
        <v>0</v>
      </c>
      <c r="I79" s="40">
        <v>0</v>
      </c>
      <c r="J79" s="40">
        <v>37.659999999999997</v>
      </c>
      <c r="K79" s="40">
        <v>0</v>
      </c>
      <c r="L79" s="40">
        <v>0</v>
      </c>
      <c r="M79" s="40">
        <v>0</v>
      </c>
      <c r="N79" s="40">
        <v>0</v>
      </c>
      <c r="O79" s="40">
        <v>470.8</v>
      </c>
      <c r="P79" s="40">
        <v>0</v>
      </c>
      <c r="Q79" s="40">
        <v>0</v>
      </c>
      <c r="R79" s="40">
        <v>35.31</v>
      </c>
      <c r="S79" s="40">
        <v>0</v>
      </c>
      <c r="T79" s="40">
        <v>0</v>
      </c>
      <c r="U79" s="40">
        <v>0</v>
      </c>
      <c r="V79" s="40">
        <v>470.8</v>
      </c>
      <c r="W79" s="40">
        <v>0</v>
      </c>
      <c r="X79" s="40">
        <v>0</v>
      </c>
      <c r="Y79" s="40">
        <v>0</v>
      </c>
      <c r="Z79" s="40">
        <v>0</v>
      </c>
      <c r="AA79" s="40">
        <v>17.5</v>
      </c>
      <c r="AB79" s="40">
        <v>94.16</v>
      </c>
      <c r="AC79" s="40">
        <v>27.31</v>
      </c>
      <c r="AD79" s="40">
        <v>174.28</v>
      </c>
      <c r="AE79" s="49">
        <f t="shared" si="20"/>
        <v>0</v>
      </c>
      <c r="AF79" s="49">
        <f t="shared" si="21"/>
        <v>0</v>
      </c>
      <c r="AG79" t="s">
        <v>140</v>
      </c>
      <c r="AH79">
        <v>470.8</v>
      </c>
      <c r="AI79">
        <v>37.659999999999997</v>
      </c>
      <c r="AJ79" s="49">
        <f t="shared" si="14"/>
        <v>0</v>
      </c>
      <c r="AK79" s="49">
        <f t="shared" si="15"/>
        <v>0</v>
      </c>
      <c r="AL79" t="s">
        <v>140</v>
      </c>
      <c r="AM79" s="81">
        <v>470.8</v>
      </c>
      <c r="AN79" s="81">
        <v>35.31</v>
      </c>
      <c r="AO79" s="81">
        <v>0</v>
      </c>
      <c r="AP79" s="81">
        <v>0</v>
      </c>
    </row>
    <row r="80" spans="1:42" ht="15" customHeight="1">
      <c r="A80" s="38" t="s">
        <v>141</v>
      </c>
      <c r="B80" s="38" t="s">
        <v>68</v>
      </c>
      <c r="C80" s="38" t="s">
        <v>65</v>
      </c>
      <c r="D80" s="38" t="s">
        <v>66</v>
      </c>
      <c r="E80" s="39">
        <v>3666.9</v>
      </c>
      <c r="F80" s="39">
        <v>0</v>
      </c>
      <c r="G80" s="39">
        <v>0</v>
      </c>
      <c r="H80" s="40">
        <v>0</v>
      </c>
      <c r="I80" s="40">
        <v>0</v>
      </c>
      <c r="J80" s="40">
        <v>293.35000000000002</v>
      </c>
      <c r="K80" s="40">
        <v>0</v>
      </c>
      <c r="L80" s="40">
        <v>0</v>
      </c>
      <c r="M80" s="40">
        <v>0</v>
      </c>
      <c r="N80" s="40">
        <v>0</v>
      </c>
      <c r="O80" s="40">
        <v>3666.9</v>
      </c>
      <c r="P80" s="40">
        <v>0</v>
      </c>
      <c r="Q80" s="40">
        <v>0</v>
      </c>
      <c r="R80" s="40">
        <v>328.61</v>
      </c>
      <c r="S80" s="40">
        <v>0</v>
      </c>
      <c r="T80" s="40">
        <v>0</v>
      </c>
      <c r="U80" s="40">
        <v>0</v>
      </c>
      <c r="V80" s="40">
        <v>3666.9</v>
      </c>
      <c r="W80" s="40">
        <v>0</v>
      </c>
      <c r="X80" s="40">
        <v>0</v>
      </c>
      <c r="Y80" s="40">
        <v>0</v>
      </c>
      <c r="Z80" s="40">
        <v>0</v>
      </c>
      <c r="AA80" s="40">
        <v>136.33000000000001</v>
      </c>
      <c r="AB80" s="40">
        <v>733.38</v>
      </c>
      <c r="AC80" s="40">
        <v>212.68</v>
      </c>
      <c r="AD80" s="40">
        <v>1411</v>
      </c>
      <c r="AE80" s="49">
        <f t="shared" si="20"/>
        <v>0</v>
      </c>
      <c r="AF80" s="49">
        <f t="shared" si="21"/>
        <v>0</v>
      </c>
      <c r="AG80" t="s">
        <v>141</v>
      </c>
      <c r="AH80" s="55">
        <v>3666.9</v>
      </c>
      <c r="AI80">
        <v>293.35000000000002</v>
      </c>
      <c r="AJ80" s="49">
        <f t="shared" si="14"/>
        <v>0</v>
      </c>
      <c r="AK80" s="49">
        <f t="shared" si="15"/>
        <v>0</v>
      </c>
      <c r="AL80" t="s">
        <v>141</v>
      </c>
      <c r="AM80" s="81">
        <v>3666.9</v>
      </c>
      <c r="AN80" s="81">
        <v>328.61</v>
      </c>
      <c r="AO80" s="81">
        <v>0</v>
      </c>
      <c r="AP80" s="81">
        <v>0</v>
      </c>
    </row>
    <row r="81" spans="1:42" ht="15" customHeight="1">
      <c r="A81" s="38" t="s">
        <v>142</v>
      </c>
      <c r="B81" s="38" t="s">
        <v>68</v>
      </c>
      <c r="C81" s="38" t="s">
        <v>65</v>
      </c>
      <c r="D81" s="38" t="s">
        <v>66</v>
      </c>
      <c r="E81" s="39">
        <v>3436.56</v>
      </c>
      <c r="F81" s="39">
        <v>0</v>
      </c>
      <c r="G81" s="39">
        <v>0</v>
      </c>
      <c r="H81" s="40">
        <v>0</v>
      </c>
      <c r="I81" s="40">
        <v>0</v>
      </c>
      <c r="J81" s="40">
        <v>274.92</v>
      </c>
      <c r="K81" s="40">
        <v>0</v>
      </c>
      <c r="L81" s="40">
        <v>0</v>
      </c>
      <c r="M81" s="40">
        <v>0</v>
      </c>
      <c r="N81" s="40">
        <v>0</v>
      </c>
      <c r="O81" s="40">
        <v>3436.56</v>
      </c>
      <c r="P81" s="40">
        <v>0</v>
      </c>
      <c r="Q81" s="40">
        <v>0</v>
      </c>
      <c r="R81" s="40">
        <v>300.97000000000003</v>
      </c>
      <c r="S81" s="40">
        <v>0</v>
      </c>
      <c r="T81" s="40">
        <v>0</v>
      </c>
      <c r="U81" s="40">
        <v>0</v>
      </c>
      <c r="V81" s="40">
        <v>3436.56</v>
      </c>
      <c r="W81" s="40">
        <v>0</v>
      </c>
      <c r="X81" s="40">
        <v>0</v>
      </c>
      <c r="Y81" s="40">
        <v>0</v>
      </c>
      <c r="Z81" s="40">
        <v>0</v>
      </c>
      <c r="AA81" s="40">
        <v>127.77</v>
      </c>
      <c r="AB81" s="40">
        <v>687.31</v>
      </c>
      <c r="AC81" s="40">
        <v>199.32</v>
      </c>
      <c r="AD81" s="40">
        <v>1315.37</v>
      </c>
      <c r="AE81" s="49">
        <f t="shared" si="20"/>
        <v>0</v>
      </c>
      <c r="AF81" s="49">
        <f t="shared" si="21"/>
        <v>0</v>
      </c>
      <c r="AG81" t="s">
        <v>142</v>
      </c>
      <c r="AH81" s="55">
        <v>3436.56</v>
      </c>
      <c r="AI81">
        <v>274.92</v>
      </c>
      <c r="AJ81" s="49">
        <f t="shared" si="14"/>
        <v>0</v>
      </c>
      <c r="AK81" s="49">
        <f t="shared" si="15"/>
        <v>0</v>
      </c>
      <c r="AL81" t="s">
        <v>142</v>
      </c>
      <c r="AM81" s="81">
        <v>3436.56</v>
      </c>
      <c r="AN81" s="81">
        <v>300.97000000000003</v>
      </c>
      <c r="AO81" s="81">
        <v>0</v>
      </c>
      <c r="AP81" s="81">
        <v>0</v>
      </c>
    </row>
    <row r="82" spans="1:42" ht="15" customHeight="1">
      <c r="A82" s="38" t="s">
        <v>143</v>
      </c>
      <c r="B82" s="38" t="s">
        <v>68</v>
      </c>
      <c r="C82" s="38" t="s">
        <v>65</v>
      </c>
      <c r="D82" s="38" t="s">
        <v>66</v>
      </c>
      <c r="E82" s="39">
        <v>799.32</v>
      </c>
      <c r="F82" s="39">
        <v>0</v>
      </c>
      <c r="G82" s="39">
        <v>0</v>
      </c>
      <c r="H82" s="40">
        <v>0</v>
      </c>
      <c r="I82" s="40">
        <v>0</v>
      </c>
      <c r="J82" s="40">
        <v>63.95</v>
      </c>
      <c r="K82" s="40">
        <v>0</v>
      </c>
      <c r="L82" s="40">
        <v>0</v>
      </c>
      <c r="M82" s="40">
        <v>0</v>
      </c>
      <c r="N82" s="40">
        <v>0</v>
      </c>
      <c r="O82" s="40">
        <v>799.32</v>
      </c>
      <c r="P82" s="40">
        <v>0</v>
      </c>
      <c r="Q82" s="40">
        <v>0</v>
      </c>
      <c r="R82" s="40">
        <v>59.94</v>
      </c>
      <c r="S82" s="40">
        <v>0</v>
      </c>
      <c r="T82" s="40">
        <v>0</v>
      </c>
      <c r="U82" s="40">
        <v>0</v>
      </c>
      <c r="V82" s="40">
        <v>799.32</v>
      </c>
      <c r="W82" s="40">
        <v>0</v>
      </c>
      <c r="X82" s="40">
        <v>0</v>
      </c>
      <c r="Y82" s="40">
        <v>0</v>
      </c>
      <c r="Z82" s="40">
        <v>0</v>
      </c>
      <c r="AA82" s="40">
        <v>29.72</v>
      </c>
      <c r="AB82" s="40">
        <v>159.86000000000001</v>
      </c>
      <c r="AC82" s="40">
        <v>46.36</v>
      </c>
      <c r="AD82" s="40">
        <v>295.88</v>
      </c>
      <c r="AE82" s="49">
        <f t="shared" si="20"/>
        <v>0</v>
      </c>
      <c r="AF82" s="49">
        <f t="shared" si="21"/>
        <v>1.0000000000005116E-2</v>
      </c>
      <c r="AG82" t="s">
        <v>143</v>
      </c>
      <c r="AH82">
        <v>799.32</v>
      </c>
      <c r="AI82">
        <v>63.94</v>
      </c>
      <c r="AJ82" s="49">
        <f t="shared" si="14"/>
        <v>0</v>
      </c>
      <c r="AK82" s="49">
        <f t="shared" si="15"/>
        <v>0</v>
      </c>
      <c r="AL82" t="s">
        <v>143</v>
      </c>
      <c r="AM82" s="81">
        <v>799.32</v>
      </c>
      <c r="AN82" s="81">
        <v>59.94</v>
      </c>
      <c r="AO82" s="81">
        <v>0</v>
      </c>
      <c r="AP82" s="81">
        <v>0</v>
      </c>
    </row>
    <row r="83" spans="1:42" ht="15" customHeight="1">
      <c r="A83" s="38" t="s">
        <v>144</v>
      </c>
      <c r="B83" s="38" t="s">
        <v>68</v>
      </c>
      <c r="C83" s="38" t="s">
        <v>65</v>
      </c>
      <c r="D83" s="38" t="s">
        <v>66</v>
      </c>
      <c r="E83" s="39">
        <v>3760.14</v>
      </c>
      <c r="F83" s="39">
        <v>0</v>
      </c>
      <c r="G83" s="39">
        <v>0</v>
      </c>
      <c r="H83" s="40">
        <v>0</v>
      </c>
      <c r="I83" s="40">
        <v>0</v>
      </c>
      <c r="J83" s="40">
        <v>300.81</v>
      </c>
      <c r="K83" s="40">
        <v>0</v>
      </c>
      <c r="L83" s="40">
        <v>0</v>
      </c>
      <c r="M83" s="40">
        <v>0</v>
      </c>
      <c r="N83" s="40">
        <v>0</v>
      </c>
      <c r="O83" s="40">
        <v>3760.14</v>
      </c>
      <c r="P83" s="40">
        <v>0</v>
      </c>
      <c r="Q83" s="40">
        <v>0</v>
      </c>
      <c r="R83" s="40">
        <v>339.8</v>
      </c>
      <c r="S83" s="40">
        <v>0</v>
      </c>
      <c r="T83" s="40">
        <v>0</v>
      </c>
      <c r="U83" s="40">
        <v>0</v>
      </c>
      <c r="V83" s="40">
        <v>3760.14</v>
      </c>
      <c r="W83" s="40">
        <v>0</v>
      </c>
      <c r="X83" s="40">
        <v>0</v>
      </c>
      <c r="Y83" s="40">
        <v>0</v>
      </c>
      <c r="Z83" s="40">
        <v>0</v>
      </c>
      <c r="AA83" s="40">
        <v>139.80000000000001</v>
      </c>
      <c r="AB83" s="40">
        <v>752.03</v>
      </c>
      <c r="AC83" s="40">
        <v>218.09</v>
      </c>
      <c r="AD83" s="40">
        <v>1449.71</v>
      </c>
      <c r="AE83" s="49">
        <f t="shared" si="20"/>
        <v>0</v>
      </c>
      <c r="AF83" s="49">
        <f t="shared" si="21"/>
        <v>0</v>
      </c>
      <c r="AG83" t="s">
        <v>144</v>
      </c>
      <c r="AH83" s="55">
        <v>3760.14</v>
      </c>
      <c r="AI83">
        <v>300.81</v>
      </c>
      <c r="AJ83" s="49">
        <f t="shared" si="14"/>
        <v>0</v>
      </c>
      <c r="AK83" s="49">
        <f t="shared" si="15"/>
        <v>0</v>
      </c>
      <c r="AL83" t="s">
        <v>144</v>
      </c>
      <c r="AM83" s="81">
        <v>3760.14</v>
      </c>
      <c r="AN83" s="81">
        <v>339.8</v>
      </c>
      <c r="AO83" s="81">
        <v>0</v>
      </c>
      <c r="AP83" s="81">
        <v>0</v>
      </c>
    </row>
    <row r="84" spans="1:42" ht="15" customHeight="1">
      <c r="A84" s="38" t="s">
        <v>145</v>
      </c>
      <c r="B84" s="38" t="s">
        <v>64</v>
      </c>
      <c r="C84" s="38" t="s">
        <v>82</v>
      </c>
      <c r="D84" s="38" t="s">
        <v>66</v>
      </c>
      <c r="E84" s="39">
        <v>1716.96</v>
      </c>
      <c r="F84" s="39">
        <v>0</v>
      </c>
      <c r="G84" s="39">
        <v>0</v>
      </c>
      <c r="H84" s="40">
        <v>430.83</v>
      </c>
      <c r="I84" s="40">
        <v>0</v>
      </c>
      <c r="J84" s="40">
        <v>137.36000000000001</v>
      </c>
      <c r="K84" s="40">
        <v>0</v>
      </c>
      <c r="L84" s="40">
        <v>0</v>
      </c>
      <c r="M84" s="40">
        <v>34.47</v>
      </c>
      <c r="N84" s="40">
        <v>0</v>
      </c>
      <c r="O84" s="40">
        <v>1716.96</v>
      </c>
      <c r="P84" s="40">
        <v>430.83</v>
      </c>
      <c r="Q84" s="40">
        <v>0</v>
      </c>
      <c r="R84" s="40">
        <v>130.19999999999999</v>
      </c>
      <c r="S84" s="40">
        <v>32.31</v>
      </c>
      <c r="T84" s="40">
        <v>0</v>
      </c>
      <c r="U84" s="40">
        <v>0</v>
      </c>
      <c r="V84" s="40">
        <v>1716.96</v>
      </c>
      <c r="W84" s="40">
        <v>0</v>
      </c>
      <c r="X84" s="40">
        <v>0</v>
      </c>
      <c r="Y84" s="40">
        <v>0</v>
      </c>
      <c r="Z84" s="40">
        <v>0</v>
      </c>
      <c r="AA84" s="40">
        <v>79.849999999999994</v>
      </c>
      <c r="AB84" s="40">
        <v>429.56</v>
      </c>
      <c r="AC84" s="40">
        <v>124.57</v>
      </c>
      <c r="AD84" s="40">
        <v>796.49</v>
      </c>
      <c r="AE84" s="49">
        <f t="shared" ref="AE84:AE94" si="22">(E84+F84+G84+H84+I84)-AH84</f>
        <v>2147.79</v>
      </c>
      <c r="AF84" s="49">
        <f t="shared" ref="AF84:AF94" si="23">(J84+K84+L84+M84+N84)-AI84</f>
        <v>171.83</v>
      </c>
      <c r="AH84" s="55"/>
      <c r="AJ84" s="49">
        <f t="shared" si="14"/>
        <v>0</v>
      </c>
      <c r="AK84" s="49">
        <f t="shared" si="15"/>
        <v>0</v>
      </c>
      <c r="AL84" t="s">
        <v>145</v>
      </c>
      <c r="AM84" s="81">
        <v>1716.96</v>
      </c>
      <c r="AN84" s="81">
        <v>130.19999999999999</v>
      </c>
      <c r="AO84" s="81">
        <v>430.83</v>
      </c>
      <c r="AP84" s="81">
        <v>32.31</v>
      </c>
    </row>
    <row r="85" spans="1:42" ht="15" customHeight="1">
      <c r="A85" s="38" t="s">
        <v>146</v>
      </c>
      <c r="B85" s="38" t="s">
        <v>68</v>
      </c>
      <c r="C85" s="38" t="s">
        <v>65</v>
      </c>
      <c r="D85" s="38" t="s">
        <v>66</v>
      </c>
      <c r="E85" s="39">
        <v>3671.1</v>
      </c>
      <c r="F85" s="39">
        <v>0</v>
      </c>
      <c r="G85" s="39">
        <v>0</v>
      </c>
      <c r="H85" s="40">
        <v>0</v>
      </c>
      <c r="I85" s="40">
        <v>0</v>
      </c>
      <c r="J85" s="40">
        <v>293.69</v>
      </c>
      <c r="K85" s="40">
        <v>0</v>
      </c>
      <c r="L85" s="40">
        <v>0</v>
      </c>
      <c r="M85" s="40">
        <v>0</v>
      </c>
      <c r="N85" s="40">
        <v>0</v>
      </c>
      <c r="O85" s="40">
        <v>3671.1</v>
      </c>
      <c r="P85" s="40">
        <v>0</v>
      </c>
      <c r="Q85" s="40">
        <v>0</v>
      </c>
      <c r="R85" s="40">
        <v>329.12</v>
      </c>
      <c r="S85" s="40">
        <v>0</v>
      </c>
      <c r="T85" s="40">
        <v>0</v>
      </c>
      <c r="U85" s="40">
        <v>0</v>
      </c>
      <c r="V85" s="40">
        <v>3671.1</v>
      </c>
      <c r="W85" s="40">
        <v>0</v>
      </c>
      <c r="X85" s="40">
        <v>0</v>
      </c>
      <c r="Y85" s="40">
        <v>0</v>
      </c>
      <c r="Z85" s="40">
        <v>0</v>
      </c>
      <c r="AA85" s="40">
        <v>136.49</v>
      </c>
      <c r="AB85" s="40">
        <v>734.22</v>
      </c>
      <c r="AC85" s="40">
        <v>212.92</v>
      </c>
      <c r="AD85" s="40">
        <v>1412.75</v>
      </c>
      <c r="AE85" s="49">
        <f t="shared" si="22"/>
        <v>0</v>
      </c>
      <c r="AF85" s="49">
        <f t="shared" si="23"/>
        <v>9.9999999999909051E-3</v>
      </c>
      <c r="AG85" t="s">
        <v>146</v>
      </c>
      <c r="AH85" s="55">
        <v>3671.1</v>
      </c>
      <c r="AI85">
        <v>293.68</v>
      </c>
      <c r="AJ85" s="49">
        <f t="shared" si="14"/>
        <v>0</v>
      </c>
      <c r="AK85" s="49">
        <f t="shared" si="15"/>
        <v>0</v>
      </c>
      <c r="AL85" t="s">
        <v>146</v>
      </c>
      <c r="AM85" s="81">
        <v>3671.1</v>
      </c>
      <c r="AN85" s="81">
        <v>329.12</v>
      </c>
      <c r="AO85" s="81">
        <v>0</v>
      </c>
      <c r="AP85" s="81">
        <v>0</v>
      </c>
    </row>
    <row r="86" spans="1:42" ht="15" customHeight="1">
      <c r="A86" s="38" t="s">
        <v>147</v>
      </c>
      <c r="B86" s="38" t="s">
        <v>68</v>
      </c>
      <c r="C86" s="38" t="s">
        <v>65</v>
      </c>
      <c r="D86" s="38" t="s">
        <v>66</v>
      </c>
      <c r="E86" s="39">
        <v>6698.45</v>
      </c>
      <c r="F86" s="39">
        <v>0</v>
      </c>
      <c r="G86" s="39">
        <v>0</v>
      </c>
      <c r="H86" s="40">
        <v>0</v>
      </c>
      <c r="I86" s="40">
        <v>0</v>
      </c>
      <c r="J86" s="40">
        <v>535.88</v>
      </c>
      <c r="K86" s="40">
        <v>0</v>
      </c>
      <c r="L86" s="40">
        <v>0</v>
      </c>
      <c r="M86" s="40">
        <v>0</v>
      </c>
      <c r="N86" s="40">
        <v>0</v>
      </c>
      <c r="O86" s="40">
        <v>6698.45</v>
      </c>
      <c r="P86" s="40">
        <v>0</v>
      </c>
      <c r="Q86" s="40">
        <v>0</v>
      </c>
      <c r="R86" s="40">
        <v>739.28</v>
      </c>
      <c r="S86" s="40">
        <v>0</v>
      </c>
      <c r="T86" s="40">
        <v>0</v>
      </c>
      <c r="U86" s="40">
        <v>0</v>
      </c>
      <c r="V86" s="40">
        <v>6698.45</v>
      </c>
      <c r="W86" s="40">
        <v>0</v>
      </c>
      <c r="X86" s="40">
        <v>643.28</v>
      </c>
      <c r="Y86" s="40">
        <v>0</v>
      </c>
      <c r="Z86" s="40">
        <v>0</v>
      </c>
      <c r="AA86" s="40">
        <v>249.04</v>
      </c>
      <c r="AB86" s="40">
        <v>1339.69</v>
      </c>
      <c r="AC86" s="40">
        <v>388.51</v>
      </c>
      <c r="AD86" s="40">
        <v>2716.52</v>
      </c>
      <c r="AE86" s="49">
        <f t="shared" si="22"/>
        <v>0</v>
      </c>
      <c r="AF86" s="49">
        <f t="shared" si="23"/>
        <v>9.9999999999909051E-3</v>
      </c>
      <c r="AG86" t="s">
        <v>147</v>
      </c>
      <c r="AH86" s="55">
        <v>6698.45</v>
      </c>
      <c r="AI86">
        <v>535.87</v>
      </c>
      <c r="AJ86" s="49">
        <f t="shared" si="14"/>
        <v>0</v>
      </c>
      <c r="AK86" s="49">
        <f t="shared" si="15"/>
        <v>0</v>
      </c>
      <c r="AL86" t="s">
        <v>147</v>
      </c>
      <c r="AM86" s="81">
        <v>6698.45</v>
      </c>
      <c r="AN86" s="81">
        <v>739.28</v>
      </c>
      <c r="AO86" s="81">
        <v>0</v>
      </c>
      <c r="AP86" s="81">
        <v>0</v>
      </c>
    </row>
    <row r="87" spans="1:42" ht="15" customHeight="1">
      <c r="A87" s="38" t="s">
        <v>148</v>
      </c>
      <c r="B87" s="38" t="s">
        <v>68</v>
      </c>
      <c r="C87" s="38" t="s">
        <v>65</v>
      </c>
      <c r="D87" s="38" t="s">
        <v>66</v>
      </c>
      <c r="E87" s="39">
        <v>3925.28</v>
      </c>
      <c r="F87" s="39">
        <v>0</v>
      </c>
      <c r="G87" s="39">
        <v>0</v>
      </c>
      <c r="H87" s="40">
        <v>0</v>
      </c>
      <c r="I87" s="40">
        <v>0</v>
      </c>
      <c r="J87" s="40">
        <v>314.02</v>
      </c>
      <c r="K87" s="40">
        <v>0</v>
      </c>
      <c r="L87" s="40">
        <v>0</v>
      </c>
      <c r="M87" s="40">
        <v>0</v>
      </c>
      <c r="N87" s="40">
        <v>0</v>
      </c>
      <c r="O87" s="40">
        <v>3925.28</v>
      </c>
      <c r="P87" s="40">
        <v>0</v>
      </c>
      <c r="Q87" s="40">
        <v>0</v>
      </c>
      <c r="R87" s="40">
        <v>359.62</v>
      </c>
      <c r="S87" s="40">
        <v>0</v>
      </c>
      <c r="T87" s="40">
        <v>0</v>
      </c>
      <c r="U87" s="40">
        <v>0</v>
      </c>
      <c r="V87" s="40">
        <v>3925.28</v>
      </c>
      <c r="W87" s="40">
        <v>0</v>
      </c>
      <c r="X87" s="40">
        <v>0</v>
      </c>
      <c r="Y87" s="40">
        <v>0</v>
      </c>
      <c r="Z87" s="40">
        <v>0</v>
      </c>
      <c r="AA87" s="40">
        <v>145.94</v>
      </c>
      <c r="AB87" s="40">
        <v>785.06</v>
      </c>
      <c r="AC87" s="40">
        <v>227.67</v>
      </c>
      <c r="AD87" s="40">
        <v>1518.28</v>
      </c>
      <c r="AE87" s="49">
        <f t="shared" si="22"/>
        <v>0</v>
      </c>
      <c r="AF87" s="49">
        <f t="shared" si="23"/>
        <v>0</v>
      </c>
      <c r="AG87" t="s">
        <v>148</v>
      </c>
      <c r="AH87" s="55">
        <v>3925.28</v>
      </c>
      <c r="AI87">
        <v>314.02</v>
      </c>
      <c r="AJ87" s="49">
        <f t="shared" si="14"/>
        <v>0</v>
      </c>
      <c r="AK87" s="49">
        <f t="shared" si="15"/>
        <v>0</v>
      </c>
      <c r="AL87" t="s">
        <v>148</v>
      </c>
      <c r="AM87" s="81">
        <v>3925.28</v>
      </c>
      <c r="AN87" s="81">
        <v>359.62</v>
      </c>
      <c r="AO87" s="81">
        <v>0</v>
      </c>
      <c r="AP87" s="81">
        <v>0</v>
      </c>
    </row>
    <row r="88" spans="1:42" ht="15" customHeight="1">
      <c r="A88" s="38" t="s">
        <v>149</v>
      </c>
      <c r="B88" s="38" t="s">
        <v>68</v>
      </c>
      <c r="C88" s="38" t="s">
        <v>65</v>
      </c>
      <c r="D88" s="38" t="s">
        <v>66</v>
      </c>
      <c r="E88" s="39">
        <v>6363.82</v>
      </c>
      <c r="F88" s="39">
        <v>0</v>
      </c>
      <c r="G88" s="39">
        <v>0</v>
      </c>
      <c r="H88" s="40">
        <v>0</v>
      </c>
      <c r="I88" s="40">
        <v>0</v>
      </c>
      <c r="J88" s="40">
        <v>509.11</v>
      </c>
      <c r="K88" s="40">
        <v>0</v>
      </c>
      <c r="L88" s="40">
        <v>0</v>
      </c>
      <c r="M88" s="40">
        <v>0</v>
      </c>
      <c r="N88" s="40">
        <v>0</v>
      </c>
      <c r="O88" s="40">
        <v>6363.82</v>
      </c>
      <c r="P88" s="40">
        <v>0</v>
      </c>
      <c r="Q88" s="40">
        <v>0</v>
      </c>
      <c r="R88" s="40">
        <v>692.43</v>
      </c>
      <c r="S88" s="40">
        <v>0</v>
      </c>
      <c r="T88" s="40">
        <v>0</v>
      </c>
      <c r="U88" s="40">
        <v>0</v>
      </c>
      <c r="V88" s="40">
        <v>6363.82</v>
      </c>
      <c r="W88" s="40">
        <v>0</v>
      </c>
      <c r="X88" s="40">
        <v>519.59</v>
      </c>
      <c r="Y88" s="40">
        <v>0</v>
      </c>
      <c r="Z88" s="40">
        <v>0</v>
      </c>
      <c r="AA88" s="40">
        <v>236.6</v>
      </c>
      <c r="AB88" s="40">
        <v>1272.76</v>
      </c>
      <c r="AC88" s="40">
        <v>369.1</v>
      </c>
      <c r="AD88" s="40">
        <v>2570.9</v>
      </c>
      <c r="AE88" s="49">
        <f t="shared" si="22"/>
        <v>0</v>
      </c>
      <c r="AF88" s="49">
        <f t="shared" si="23"/>
        <v>9.9999999999909051E-3</v>
      </c>
      <c r="AG88" t="s">
        <v>149</v>
      </c>
      <c r="AH88" s="55">
        <v>6363.82</v>
      </c>
      <c r="AI88">
        <v>509.1</v>
      </c>
      <c r="AJ88" s="49">
        <f t="shared" si="14"/>
        <v>0</v>
      </c>
      <c r="AK88" s="49">
        <f t="shared" si="15"/>
        <v>0</v>
      </c>
      <c r="AL88" t="s">
        <v>149</v>
      </c>
      <c r="AM88" s="81">
        <v>6363.82</v>
      </c>
      <c r="AN88" s="81">
        <v>692.43</v>
      </c>
      <c r="AO88" s="81">
        <v>0</v>
      </c>
      <c r="AP88" s="81">
        <v>0</v>
      </c>
    </row>
    <row r="89" spans="1:42" ht="15" customHeight="1">
      <c r="A89" s="38" t="s">
        <v>150</v>
      </c>
      <c r="B89" s="38" t="s">
        <v>68</v>
      </c>
      <c r="C89" s="38" t="s">
        <v>65</v>
      </c>
      <c r="D89" s="38" t="s">
        <v>66</v>
      </c>
      <c r="E89" s="39">
        <v>1948.53</v>
      </c>
      <c r="F89" s="39">
        <v>0</v>
      </c>
      <c r="G89" s="39">
        <v>0</v>
      </c>
      <c r="H89" s="40">
        <v>0</v>
      </c>
      <c r="I89" s="40">
        <v>0</v>
      </c>
      <c r="J89" s="40">
        <v>155.88</v>
      </c>
      <c r="K89" s="40">
        <v>0</v>
      </c>
      <c r="L89" s="40">
        <v>0</v>
      </c>
      <c r="M89" s="40">
        <v>0</v>
      </c>
      <c r="N89" s="40">
        <v>0</v>
      </c>
      <c r="O89" s="40">
        <v>1948.53</v>
      </c>
      <c r="P89" s="40">
        <v>0</v>
      </c>
      <c r="Q89" s="40">
        <v>0</v>
      </c>
      <c r="R89" s="40">
        <v>151.04</v>
      </c>
      <c r="S89" s="40">
        <v>0</v>
      </c>
      <c r="T89" s="40">
        <v>0</v>
      </c>
      <c r="U89" s="40">
        <v>0</v>
      </c>
      <c r="V89" s="40">
        <v>1948.53</v>
      </c>
      <c r="W89" s="40">
        <v>0</v>
      </c>
      <c r="X89" s="40">
        <v>0</v>
      </c>
      <c r="Y89" s="40">
        <v>0</v>
      </c>
      <c r="Z89" s="40">
        <v>0</v>
      </c>
      <c r="AA89" s="40">
        <v>72.44</v>
      </c>
      <c r="AB89" s="40">
        <v>389.71</v>
      </c>
      <c r="AC89" s="40">
        <v>113.01</v>
      </c>
      <c r="AD89" s="40">
        <v>726.21</v>
      </c>
      <c r="AE89" s="49">
        <f t="shared" si="22"/>
        <v>0</v>
      </c>
      <c r="AF89" s="49">
        <f t="shared" si="23"/>
        <v>0</v>
      </c>
      <c r="AG89" t="s">
        <v>150</v>
      </c>
      <c r="AH89" s="55">
        <v>1948.53</v>
      </c>
      <c r="AI89">
        <v>155.88</v>
      </c>
      <c r="AJ89" s="49">
        <f t="shared" si="14"/>
        <v>0</v>
      </c>
      <c r="AK89" s="49">
        <f t="shared" si="15"/>
        <v>0</v>
      </c>
      <c r="AL89" t="s">
        <v>150</v>
      </c>
      <c r="AM89" s="81">
        <v>1948.53</v>
      </c>
      <c r="AN89" s="81">
        <v>151.04</v>
      </c>
      <c r="AO89" s="81">
        <v>0</v>
      </c>
      <c r="AP89" s="81">
        <v>0</v>
      </c>
    </row>
    <row r="90" spans="1:42" ht="15" customHeight="1">
      <c r="A90" s="38" t="s">
        <v>151</v>
      </c>
      <c r="B90" s="38" t="s">
        <v>152</v>
      </c>
      <c r="C90" s="38" t="s">
        <v>65</v>
      </c>
      <c r="D90" s="38" t="s">
        <v>66</v>
      </c>
      <c r="E90" s="39">
        <v>2973.88</v>
      </c>
      <c r="F90" s="39">
        <v>0</v>
      </c>
      <c r="G90" s="39">
        <v>0</v>
      </c>
      <c r="H90" s="40">
        <v>0</v>
      </c>
      <c r="I90" s="40">
        <v>0</v>
      </c>
      <c r="J90" s="40">
        <v>237.91</v>
      </c>
      <c r="K90" s="40">
        <v>0</v>
      </c>
      <c r="L90" s="40">
        <v>0</v>
      </c>
      <c r="M90" s="40">
        <v>0</v>
      </c>
      <c r="N90" s="40">
        <v>0</v>
      </c>
      <c r="O90" s="40">
        <v>2973.88</v>
      </c>
      <c r="P90" s="40">
        <v>0</v>
      </c>
      <c r="Q90" s="40">
        <v>0</v>
      </c>
      <c r="R90" s="40">
        <v>245.45</v>
      </c>
      <c r="S90" s="40">
        <v>0</v>
      </c>
      <c r="T90" s="40">
        <v>0</v>
      </c>
      <c r="U90" s="40">
        <v>0</v>
      </c>
      <c r="V90" s="40">
        <v>2973.88</v>
      </c>
      <c r="W90" s="40">
        <v>0</v>
      </c>
      <c r="X90" s="40">
        <v>0</v>
      </c>
      <c r="Y90" s="40">
        <v>0</v>
      </c>
      <c r="Z90" s="40">
        <v>0</v>
      </c>
      <c r="AA90" s="40">
        <v>110.57</v>
      </c>
      <c r="AB90" s="40">
        <v>594.78</v>
      </c>
      <c r="AC90" s="40">
        <v>172.49</v>
      </c>
      <c r="AD90" s="40">
        <v>1123.28</v>
      </c>
      <c r="AE90" s="49">
        <f t="shared" si="22"/>
        <v>0</v>
      </c>
      <c r="AF90" s="49">
        <f t="shared" si="23"/>
        <v>0</v>
      </c>
      <c r="AG90" t="s">
        <v>151</v>
      </c>
      <c r="AH90" s="55">
        <v>2973.88</v>
      </c>
      <c r="AI90">
        <v>237.91</v>
      </c>
      <c r="AJ90" s="49">
        <f t="shared" si="14"/>
        <v>0</v>
      </c>
      <c r="AK90" s="49">
        <f t="shared" si="15"/>
        <v>0</v>
      </c>
      <c r="AL90" t="s">
        <v>151</v>
      </c>
      <c r="AM90" s="81">
        <v>2973.88</v>
      </c>
      <c r="AN90" s="81">
        <v>245.45</v>
      </c>
      <c r="AO90" s="81">
        <v>0</v>
      </c>
      <c r="AP90" s="81">
        <v>0</v>
      </c>
    </row>
    <row r="91" spans="1:42" ht="15" customHeight="1">
      <c r="A91" s="38" t="s">
        <v>153</v>
      </c>
      <c r="B91" s="38" t="s">
        <v>68</v>
      </c>
      <c r="C91" s="38" t="s">
        <v>65</v>
      </c>
      <c r="D91" s="38" t="s">
        <v>66</v>
      </c>
      <c r="E91" s="39">
        <v>3958.11</v>
      </c>
      <c r="F91" s="39">
        <v>0</v>
      </c>
      <c r="G91" s="39">
        <v>0</v>
      </c>
      <c r="H91" s="40">
        <v>0</v>
      </c>
      <c r="I91" s="40">
        <v>0</v>
      </c>
      <c r="J91" s="40">
        <v>316.64999999999998</v>
      </c>
      <c r="K91" s="40">
        <v>0</v>
      </c>
      <c r="L91" s="40">
        <v>0</v>
      </c>
      <c r="M91" s="40">
        <v>0</v>
      </c>
      <c r="N91" s="40">
        <v>0</v>
      </c>
      <c r="O91" s="40">
        <v>3958.11</v>
      </c>
      <c r="P91" s="40">
        <v>0</v>
      </c>
      <c r="Q91" s="40">
        <v>0</v>
      </c>
      <c r="R91" s="40">
        <v>363.56</v>
      </c>
      <c r="S91" s="40">
        <v>0</v>
      </c>
      <c r="T91" s="40">
        <v>0</v>
      </c>
      <c r="U91" s="40">
        <v>0</v>
      </c>
      <c r="V91" s="40">
        <v>3958.11</v>
      </c>
      <c r="W91" s="40">
        <v>0</v>
      </c>
      <c r="X91" s="40">
        <v>0</v>
      </c>
      <c r="Y91" s="40">
        <v>0</v>
      </c>
      <c r="Z91" s="40">
        <v>0</v>
      </c>
      <c r="AA91" s="40">
        <v>147.16</v>
      </c>
      <c r="AB91" s="40">
        <v>791.62</v>
      </c>
      <c r="AC91" s="40">
        <v>229.57</v>
      </c>
      <c r="AD91" s="40">
        <v>1531.91</v>
      </c>
      <c r="AE91" s="49">
        <f t="shared" si="22"/>
        <v>0</v>
      </c>
      <c r="AF91" s="49">
        <f t="shared" si="23"/>
        <v>9.9999999999909051E-3</v>
      </c>
      <c r="AG91" t="s">
        <v>153</v>
      </c>
      <c r="AH91" s="55">
        <v>3958.11</v>
      </c>
      <c r="AI91">
        <v>316.64</v>
      </c>
      <c r="AJ91" s="49">
        <f t="shared" si="14"/>
        <v>0</v>
      </c>
      <c r="AK91" s="49">
        <f t="shared" si="15"/>
        <v>0</v>
      </c>
      <c r="AL91" t="s">
        <v>153</v>
      </c>
      <c r="AM91" s="81">
        <v>3958.11</v>
      </c>
      <c r="AN91" s="81">
        <v>363.56</v>
      </c>
      <c r="AO91" s="81">
        <v>0</v>
      </c>
      <c r="AP91" s="81">
        <v>0</v>
      </c>
    </row>
    <row r="92" spans="1:42" ht="15" customHeight="1">
      <c r="A92" s="38" t="s">
        <v>154</v>
      </c>
      <c r="B92" s="38" t="s">
        <v>68</v>
      </c>
      <c r="C92" s="38" t="s">
        <v>65</v>
      </c>
      <c r="D92" s="38" t="s">
        <v>66</v>
      </c>
      <c r="E92" s="39">
        <v>3128.6</v>
      </c>
      <c r="F92" s="39">
        <v>0</v>
      </c>
      <c r="G92" s="39">
        <v>0</v>
      </c>
      <c r="H92" s="40">
        <v>0</v>
      </c>
      <c r="I92" s="40">
        <v>0</v>
      </c>
      <c r="J92" s="40">
        <v>250.29</v>
      </c>
      <c r="K92" s="40">
        <v>0</v>
      </c>
      <c r="L92" s="40">
        <v>0</v>
      </c>
      <c r="M92" s="40">
        <v>0</v>
      </c>
      <c r="N92" s="40">
        <v>0</v>
      </c>
      <c r="O92" s="40">
        <v>3128.6</v>
      </c>
      <c r="P92" s="40">
        <v>0</v>
      </c>
      <c r="Q92" s="40">
        <v>0</v>
      </c>
      <c r="R92" s="40">
        <v>264.02</v>
      </c>
      <c r="S92" s="40">
        <v>0</v>
      </c>
      <c r="T92" s="40">
        <v>0</v>
      </c>
      <c r="U92" s="40">
        <v>0</v>
      </c>
      <c r="V92" s="40">
        <v>3128.6</v>
      </c>
      <c r="W92" s="40">
        <v>0</v>
      </c>
      <c r="X92" s="40">
        <v>0</v>
      </c>
      <c r="Y92" s="40">
        <v>0</v>
      </c>
      <c r="Z92" s="40">
        <v>0</v>
      </c>
      <c r="AA92" s="40">
        <v>116.32</v>
      </c>
      <c r="AB92" s="40">
        <v>625.72</v>
      </c>
      <c r="AC92" s="40">
        <v>181.46</v>
      </c>
      <c r="AD92" s="40">
        <v>1187.52</v>
      </c>
      <c r="AE92" s="49">
        <f t="shared" si="22"/>
        <v>0</v>
      </c>
      <c r="AF92" s="49">
        <f t="shared" si="23"/>
        <v>9.9999999999909051E-3</v>
      </c>
      <c r="AG92" t="s">
        <v>154</v>
      </c>
      <c r="AH92" s="55">
        <v>3128.6</v>
      </c>
      <c r="AI92">
        <v>250.28</v>
      </c>
      <c r="AJ92" s="49">
        <f t="shared" si="14"/>
        <v>0</v>
      </c>
      <c r="AK92" s="49">
        <f t="shared" si="15"/>
        <v>0</v>
      </c>
      <c r="AL92" t="s">
        <v>154</v>
      </c>
      <c r="AM92" s="81">
        <v>3128.6</v>
      </c>
      <c r="AN92" s="81">
        <v>264.02</v>
      </c>
      <c r="AO92" s="81">
        <v>0</v>
      </c>
      <c r="AP92" s="81">
        <v>0</v>
      </c>
    </row>
    <row r="93" spans="1:42" ht="15" customHeight="1">
      <c r="A93" s="38" t="s">
        <v>155</v>
      </c>
      <c r="B93" s="38" t="s">
        <v>84</v>
      </c>
      <c r="C93" s="38" t="s">
        <v>65</v>
      </c>
      <c r="D93" s="38" t="s">
        <v>66</v>
      </c>
      <c r="E93" s="39">
        <v>4500</v>
      </c>
      <c r="F93" s="39">
        <v>0</v>
      </c>
      <c r="G93" s="39">
        <v>0</v>
      </c>
      <c r="H93" s="40">
        <v>0</v>
      </c>
      <c r="I93" s="40">
        <v>0</v>
      </c>
      <c r="J93" s="40">
        <v>360</v>
      </c>
      <c r="K93" s="40">
        <v>0</v>
      </c>
      <c r="L93" s="40">
        <v>0</v>
      </c>
      <c r="M93" s="40">
        <v>0</v>
      </c>
      <c r="N93" s="40">
        <v>0</v>
      </c>
      <c r="O93" s="40">
        <v>4500</v>
      </c>
      <c r="P93" s="40">
        <v>0</v>
      </c>
      <c r="Q93" s="40">
        <v>0</v>
      </c>
      <c r="R93" s="40">
        <v>431.5</v>
      </c>
      <c r="S93" s="40">
        <v>0</v>
      </c>
      <c r="T93" s="40">
        <v>0</v>
      </c>
      <c r="U93" s="40">
        <v>0</v>
      </c>
      <c r="V93" s="40">
        <v>4500</v>
      </c>
      <c r="W93" s="40">
        <v>0</v>
      </c>
      <c r="X93" s="40">
        <v>0</v>
      </c>
      <c r="Y93" s="40">
        <v>0</v>
      </c>
      <c r="Z93" s="40">
        <v>0</v>
      </c>
      <c r="AA93" s="40">
        <v>167.31</v>
      </c>
      <c r="AB93" s="40">
        <v>900</v>
      </c>
      <c r="AC93" s="40">
        <v>261</v>
      </c>
      <c r="AD93" s="40">
        <v>1759.81</v>
      </c>
      <c r="AE93" s="49">
        <f t="shared" si="22"/>
        <v>0</v>
      </c>
      <c r="AF93" s="49">
        <f t="shared" si="23"/>
        <v>0</v>
      </c>
      <c r="AG93" t="s">
        <v>155</v>
      </c>
      <c r="AH93" s="55">
        <v>4500</v>
      </c>
      <c r="AI93">
        <v>360</v>
      </c>
      <c r="AJ93" s="49">
        <f t="shared" si="14"/>
        <v>0</v>
      </c>
      <c r="AK93" s="49">
        <f t="shared" si="15"/>
        <v>0</v>
      </c>
      <c r="AL93" t="s">
        <v>155</v>
      </c>
      <c r="AM93" s="81">
        <v>4500</v>
      </c>
      <c r="AN93" s="81">
        <v>431.5</v>
      </c>
      <c r="AO93" s="81">
        <v>0</v>
      </c>
      <c r="AP93" s="81">
        <v>0</v>
      </c>
    </row>
    <row r="94" spans="1:42" ht="15" customHeight="1">
      <c r="A94" s="38" t="s">
        <v>156</v>
      </c>
      <c r="B94" s="38" t="s">
        <v>68</v>
      </c>
      <c r="C94" s="38" t="s">
        <v>65</v>
      </c>
      <c r="D94" s="38" t="s">
        <v>66</v>
      </c>
      <c r="E94" s="39">
        <v>3022.5</v>
      </c>
      <c r="F94" s="39">
        <v>0</v>
      </c>
      <c r="G94" s="39">
        <v>0</v>
      </c>
      <c r="H94" s="40">
        <v>0</v>
      </c>
      <c r="I94" s="40">
        <v>0</v>
      </c>
      <c r="J94" s="40">
        <v>241.8</v>
      </c>
      <c r="K94" s="40">
        <v>0</v>
      </c>
      <c r="L94" s="40">
        <v>0</v>
      </c>
      <c r="M94" s="40">
        <v>0</v>
      </c>
      <c r="N94" s="40">
        <v>0</v>
      </c>
      <c r="O94" s="40">
        <v>3022.5</v>
      </c>
      <c r="P94" s="40">
        <v>0</v>
      </c>
      <c r="Q94" s="40">
        <v>0</v>
      </c>
      <c r="R94" s="40">
        <v>251.28</v>
      </c>
      <c r="S94" s="40">
        <v>0</v>
      </c>
      <c r="T94" s="40">
        <v>0</v>
      </c>
      <c r="U94" s="40">
        <v>0</v>
      </c>
      <c r="V94" s="40">
        <v>3022.5</v>
      </c>
      <c r="W94" s="40">
        <v>0</v>
      </c>
      <c r="X94" s="40">
        <v>0</v>
      </c>
      <c r="Y94" s="40">
        <v>0</v>
      </c>
      <c r="Z94" s="40">
        <v>0</v>
      </c>
      <c r="AA94" s="40">
        <v>112.37</v>
      </c>
      <c r="AB94" s="40">
        <v>604.5</v>
      </c>
      <c r="AC94" s="40">
        <v>175.31</v>
      </c>
      <c r="AD94" s="40">
        <v>1143.46</v>
      </c>
      <c r="AE94" s="49">
        <f t="shared" si="22"/>
        <v>0</v>
      </c>
      <c r="AF94" s="49">
        <f t="shared" si="23"/>
        <v>0</v>
      </c>
      <c r="AG94" t="s">
        <v>156</v>
      </c>
      <c r="AH94" s="55">
        <v>3022.5</v>
      </c>
      <c r="AI94">
        <v>241.8</v>
      </c>
      <c r="AJ94" s="49">
        <f t="shared" si="14"/>
        <v>0</v>
      </c>
      <c r="AK94" s="49">
        <f t="shared" si="15"/>
        <v>0</v>
      </c>
      <c r="AL94" t="s">
        <v>156</v>
      </c>
      <c r="AM94" s="81">
        <v>3022.5</v>
      </c>
      <c r="AN94" s="81">
        <v>251.28</v>
      </c>
      <c r="AO94" s="81">
        <v>0</v>
      </c>
      <c r="AP94" s="81">
        <v>0</v>
      </c>
    </row>
    <row r="95" spans="1:42" ht="15" customHeight="1">
      <c r="A95" s="38" t="s">
        <v>157</v>
      </c>
      <c r="B95" s="38" t="s">
        <v>68</v>
      </c>
      <c r="C95" s="38" t="s">
        <v>99</v>
      </c>
      <c r="D95" s="38" t="s">
        <v>66</v>
      </c>
      <c r="E95" s="39">
        <v>2140.67</v>
      </c>
      <c r="F95" s="39">
        <v>0</v>
      </c>
      <c r="G95" s="39">
        <v>0</v>
      </c>
      <c r="H95" s="40">
        <v>0</v>
      </c>
      <c r="I95" s="40">
        <v>0</v>
      </c>
      <c r="J95" s="40">
        <v>171.25</v>
      </c>
      <c r="K95" s="40">
        <v>0</v>
      </c>
      <c r="L95" s="40">
        <v>0</v>
      </c>
      <c r="M95" s="40">
        <v>0</v>
      </c>
      <c r="N95" s="40">
        <v>0</v>
      </c>
      <c r="O95" s="40">
        <v>2140.67</v>
      </c>
      <c r="P95" s="40">
        <v>0</v>
      </c>
      <c r="Q95" s="40">
        <v>0</v>
      </c>
      <c r="R95" s="40">
        <v>168.34</v>
      </c>
      <c r="S95" s="40">
        <v>0</v>
      </c>
      <c r="T95" s="40">
        <v>0</v>
      </c>
      <c r="U95" s="40">
        <v>0</v>
      </c>
      <c r="V95" s="40">
        <v>2140.67</v>
      </c>
      <c r="W95" s="40">
        <v>0</v>
      </c>
      <c r="X95" s="40">
        <v>0</v>
      </c>
      <c r="Y95" s="40">
        <v>0</v>
      </c>
      <c r="Z95" s="40">
        <v>0</v>
      </c>
      <c r="AA95" s="40">
        <v>79.59</v>
      </c>
      <c r="AB95" s="40">
        <v>428.13</v>
      </c>
      <c r="AC95" s="40">
        <v>124.16</v>
      </c>
      <c r="AD95" s="40">
        <v>800.22</v>
      </c>
      <c r="AE95" s="49">
        <f t="shared" ref="AE95:AE122" si="24">(E95+F95+G95+H95+I95)-AH95</f>
        <v>0</v>
      </c>
      <c r="AF95" s="49">
        <f t="shared" ref="AF95:AF122" si="25">(J95+K95+L95+M95+N95)-AI95</f>
        <v>0</v>
      </c>
      <c r="AG95" t="s">
        <v>157</v>
      </c>
      <c r="AH95" s="55">
        <v>2140.67</v>
      </c>
      <c r="AI95">
        <v>171.25</v>
      </c>
      <c r="AJ95" s="49">
        <f t="shared" si="14"/>
        <v>0</v>
      </c>
      <c r="AK95" s="49">
        <f t="shared" si="15"/>
        <v>0</v>
      </c>
      <c r="AL95" t="s">
        <v>157</v>
      </c>
      <c r="AM95" s="81">
        <v>2140.67</v>
      </c>
      <c r="AN95" s="81">
        <v>168.34</v>
      </c>
      <c r="AO95" s="81">
        <v>0</v>
      </c>
      <c r="AP95" s="81">
        <v>0</v>
      </c>
    </row>
    <row r="96" spans="1:42" ht="15" customHeight="1">
      <c r="A96" s="38" t="s">
        <v>158</v>
      </c>
      <c r="B96" s="38" t="s">
        <v>87</v>
      </c>
      <c r="C96" s="38" t="s">
        <v>82</v>
      </c>
      <c r="D96" s="38" t="s">
        <v>66</v>
      </c>
      <c r="E96" s="39">
        <v>83.61</v>
      </c>
      <c r="F96" s="39">
        <v>2533.4899999999998</v>
      </c>
      <c r="G96" s="39">
        <v>210.47</v>
      </c>
      <c r="H96" s="40">
        <v>1683.77</v>
      </c>
      <c r="I96" s="40">
        <v>0</v>
      </c>
      <c r="J96" s="40">
        <v>6.69</v>
      </c>
      <c r="K96" s="40">
        <v>202.68</v>
      </c>
      <c r="L96" s="40">
        <v>16.84</v>
      </c>
      <c r="M96" s="40">
        <v>134.69999999999999</v>
      </c>
      <c r="N96" s="40">
        <v>0</v>
      </c>
      <c r="O96" s="40">
        <v>83.61</v>
      </c>
      <c r="P96" s="40">
        <v>1894.24</v>
      </c>
      <c r="Q96" s="40">
        <v>0</v>
      </c>
      <c r="R96" s="40">
        <v>6.27</v>
      </c>
      <c r="S96" s="40">
        <v>146.16</v>
      </c>
      <c r="T96" s="40">
        <v>0</v>
      </c>
      <c r="U96" s="40">
        <v>0</v>
      </c>
      <c r="V96" s="40">
        <v>83.61</v>
      </c>
      <c r="W96" s="40">
        <v>0</v>
      </c>
      <c r="X96" s="40">
        <v>0</v>
      </c>
      <c r="Y96" s="40">
        <v>0</v>
      </c>
      <c r="Z96" s="40">
        <v>0</v>
      </c>
      <c r="AA96" s="40">
        <v>73.53</v>
      </c>
      <c r="AB96" s="40">
        <v>395.57</v>
      </c>
      <c r="AC96" s="40">
        <v>114.72</v>
      </c>
      <c r="AD96" s="40">
        <v>736.25</v>
      </c>
      <c r="AE96" s="49">
        <f t="shared" si="24"/>
        <v>4511.34</v>
      </c>
      <c r="AF96" s="49">
        <f t="shared" si="25"/>
        <v>360.90999999999997</v>
      </c>
      <c r="AH96" s="55"/>
      <c r="AJ96" s="49">
        <f t="shared" si="14"/>
        <v>0</v>
      </c>
      <c r="AK96" s="49">
        <f t="shared" si="15"/>
        <v>0</v>
      </c>
      <c r="AL96" t="s">
        <v>158</v>
      </c>
      <c r="AM96" s="81">
        <v>83.61</v>
      </c>
      <c r="AN96" s="81">
        <v>6.27</v>
      </c>
      <c r="AO96" s="81">
        <v>1894.24</v>
      </c>
      <c r="AP96" s="81">
        <v>146.16</v>
      </c>
    </row>
    <row r="97" spans="1:42" ht="15" customHeight="1">
      <c r="A97" s="38" t="s">
        <v>159</v>
      </c>
      <c r="B97" s="38" t="s">
        <v>124</v>
      </c>
      <c r="C97" s="38" t="s">
        <v>65</v>
      </c>
      <c r="D97" s="38" t="s">
        <v>66</v>
      </c>
      <c r="E97" s="39">
        <v>5565.56</v>
      </c>
      <c r="F97" s="39">
        <v>0</v>
      </c>
      <c r="G97" s="39">
        <v>0</v>
      </c>
      <c r="H97" s="40">
        <v>0</v>
      </c>
      <c r="I97" s="40">
        <v>0</v>
      </c>
      <c r="J97" s="40">
        <v>445.24</v>
      </c>
      <c r="K97" s="40">
        <v>0</v>
      </c>
      <c r="L97" s="40">
        <v>0</v>
      </c>
      <c r="M97" s="40">
        <v>0</v>
      </c>
      <c r="N97" s="40">
        <v>0</v>
      </c>
      <c r="O97" s="40">
        <v>5565.56</v>
      </c>
      <c r="P97" s="40">
        <v>0</v>
      </c>
      <c r="Q97" s="40">
        <v>0</v>
      </c>
      <c r="R97" s="40">
        <v>580.67999999999995</v>
      </c>
      <c r="S97" s="40">
        <v>0</v>
      </c>
      <c r="T97" s="40">
        <v>0</v>
      </c>
      <c r="U97" s="40">
        <v>0</v>
      </c>
      <c r="V97" s="40">
        <v>5565.56</v>
      </c>
      <c r="W97" s="40">
        <v>0</v>
      </c>
      <c r="X97" s="40">
        <v>217.22</v>
      </c>
      <c r="Y97" s="40">
        <v>0</v>
      </c>
      <c r="Z97" s="40">
        <v>0</v>
      </c>
      <c r="AA97" s="40">
        <v>206.92</v>
      </c>
      <c r="AB97" s="40">
        <v>1113.1099999999999</v>
      </c>
      <c r="AC97" s="40">
        <v>322.8</v>
      </c>
      <c r="AD97" s="40">
        <v>2223.52</v>
      </c>
      <c r="AE97" s="49">
        <f t="shared" si="24"/>
        <v>0</v>
      </c>
      <c r="AF97" s="49">
        <f t="shared" si="25"/>
        <v>0</v>
      </c>
      <c r="AG97" t="s">
        <v>159</v>
      </c>
      <c r="AH97" s="55">
        <v>5565.56</v>
      </c>
      <c r="AI97">
        <v>445.24</v>
      </c>
      <c r="AJ97" s="49">
        <f t="shared" si="14"/>
        <v>0</v>
      </c>
      <c r="AK97" s="49">
        <f t="shared" si="15"/>
        <v>0</v>
      </c>
      <c r="AL97" t="s">
        <v>159</v>
      </c>
      <c r="AM97" s="81">
        <v>5565.56</v>
      </c>
      <c r="AN97" s="81">
        <v>580.67999999999995</v>
      </c>
      <c r="AO97" s="81">
        <v>0</v>
      </c>
      <c r="AP97" s="81">
        <v>0</v>
      </c>
    </row>
    <row r="98" spans="1:42" ht="15" customHeight="1">
      <c r="A98" s="38" t="s">
        <v>160</v>
      </c>
      <c r="B98" s="38" t="s">
        <v>68</v>
      </c>
      <c r="C98" s="38" t="s">
        <v>65</v>
      </c>
      <c r="D98" s="38" t="s">
        <v>66</v>
      </c>
      <c r="E98" s="39">
        <v>3671.99</v>
      </c>
      <c r="F98" s="39">
        <v>0</v>
      </c>
      <c r="G98" s="39">
        <v>0</v>
      </c>
      <c r="H98" s="40">
        <v>0</v>
      </c>
      <c r="I98" s="40">
        <v>0</v>
      </c>
      <c r="J98" s="40">
        <v>293.76</v>
      </c>
      <c r="K98" s="40">
        <v>0</v>
      </c>
      <c r="L98" s="40">
        <v>0</v>
      </c>
      <c r="M98" s="40">
        <v>0</v>
      </c>
      <c r="N98" s="40">
        <v>0</v>
      </c>
      <c r="O98" s="40">
        <v>3671.99</v>
      </c>
      <c r="P98" s="40">
        <v>0</v>
      </c>
      <c r="Q98" s="40">
        <v>0</v>
      </c>
      <c r="R98" s="40">
        <v>329.22</v>
      </c>
      <c r="S98" s="40">
        <v>0</v>
      </c>
      <c r="T98" s="40">
        <v>0</v>
      </c>
      <c r="U98" s="40">
        <v>0</v>
      </c>
      <c r="V98" s="40">
        <v>3671.99</v>
      </c>
      <c r="W98" s="40">
        <v>0</v>
      </c>
      <c r="X98" s="40">
        <v>0</v>
      </c>
      <c r="Y98" s="40">
        <v>0</v>
      </c>
      <c r="Z98" s="40">
        <v>0</v>
      </c>
      <c r="AA98" s="40">
        <v>136.52000000000001</v>
      </c>
      <c r="AB98" s="40">
        <v>734.4</v>
      </c>
      <c r="AC98" s="40">
        <v>212.98</v>
      </c>
      <c r="AD98" s="40">
        <v>1413.11</v>
      </c>
      <c r="AE98" s="49">
        <f t="shared" si="24"/>
        <v>0</v>
      </c>
      <c r="AF98" s="49">
        <f t="shared" si="25"/>
        <v>9.9999999999909051E-3</v>
      </c>
      <c r="AG98" t="s">
        <v>160</v>
      </c>
      <c r="AH98" s="55">
        <v>3671.99</v>
      </c>
      <c r="AI98">
        <v>293.75</v>
      </c>
      <c r="AJ98" s="49">
        <f t="shared" si="14"/>
        <v>0</v>
      </c>
      <c r="AK98" s="49">
        <f t="shared" si="15"/>
        <v>0</v>
      </c>
      <c r="AL98" t="s">
        <v>160</v>
      </c>
      <c r="AM98" s="81">
        <v>3671.99</v>
      </c>
      <c r="AN98" s="81">
        <v>329.22</v>
      </c>
      <c r="AO98" s="81">
        <v>0</v>
      </c>
      <c r="AP98" s="81">
        <v>0</v>
      </c>
    </row>
    <row r="99" spans="1:42" ht="15" customHeight="1">
      <c r="A99" s="38" t="s">
        <v>161</v>
      </c>
      <c r="B99" s="38" t="s">
        <v>152</v>
      </c>
      <c r="C99" s="38" t="s">
        <v>65</v>
      </c>
      <c r="D99" s="38" t="s">
        <v>66</v>
      </c>
      <c r="E99" s="39">
        <v>6816.14</v>
      </c>
      <c r="F99" s="39">
        <v>0</v>
      </c>
      <c r="G99" s="39">
        <v>0</v>
      </c>
      <c r="H99" s="40">
        <v>0</v>
      </c>
      <c r="I99" s="40">
        <v>0</v>
      </c>
      <c r="J99" s="40">
        <v>545.29</v>
      </c>
      <c r="K99" s="40">
        <v>0</v>
      </c>
      <c r="L99" s="40">
        <v>0</v>
      </c>
      <c r="M99" s="40">
        <v>0</v>
      </c>
      <c r="N99" s="40">
        <v>0</v>
      </c>
      <c r="O99" s="40">
        <v>6816.14</v>
      </c>
      <c r="P99" s="40">
        <v>0</v>
      </c>
      <c r="Q99" s="40">
        <v>0</v>
      </c>
      <c r="R99" s="40">
        <v>755.76</v>
      </c>
      <c r="S99" s="40">
        <v>0</v>
      </c>
      <c r="T99" s="40">
        <v>0</v>
      </c>
      <c r="U99" s="40">
        <v>0</v>
      </c>
      <c r="V99" s="40">
        <v>6816.14</v>
      </c>
      <c r="W99" s="40">
        <v>0</v>
      </c>
      <c r="X99" s="40">
        <v>634.65</v>
      </c>
      <c r="Y99" s="40">
        <v>0</v>
      </c>
      <c r="Z99" s="40">
        <v>0</v>
      </c>
      <c r="AA99" s="40">
        <v>253.42</v>
      </c>
      <c r="AB99" s="40">
        <v>1363.23</v>
      </c>
      <c r="AC99" s="40">
        <v>395.34</v>
      </c>
      <c r="AD99" s="40">
        <v>2767.74</v>
      </c>
      <c r="AE99" s="49">
        <f t="shared" si="24"/>
        <v>0</v>
      </c>
      <c r="AF99" s="49">
        <f t="shared" si="25"/>
        <v>0</v>
      </c>
      <c r="AG99" t="s">
        <v>161</v>
      </c>
      <c r="AH99" s="55">
        <v>6816.14</v>
      </c>
      <c r="AI99">
        <v>545.29</v>
      </c>
      <c r="AJ99" s="49">
        <f t="shared" si="14"/>
        <v>0</v>
      </c>
      <c r="AK99" s="49">
        <f t="shared" si="15"/>
        <v>0</v>
      </c>
      <c r="AL99" t="s">
        <v>161</v>
      </c>
      <c r="AM99" s="81">
        <v>6816.14</v>
      </c>
      <c r="AN99" s="81">
        <v>755.76</v>
      </c>
      <c r="AO99" s="81">
        <v>0</v>
      </c>
      <c r="AP99" s="81">
        <v>0</v>
      </c>
    </row>
    <row r="100" spans="1:42" ht="15" customHeight="1">
      <c r="A100" s="38" t="s">
        <v>162</v>
      </c>
      <c r="B100" s="38" t="s">
        <v>87</v>
      </c>
      <c r="C100" s="38" t="s">
        <v>65</v>
      </c>
      <c r="D100" s="38" t="s">
        <v>66</v>
      </c>
      <c r="E100" s="39">
        <v>1426.39</v>
      </c>
      <c r="F100" s="39">
        <v>0</v>
      </c>
      <c r="G100" s="39">
        <v>0</v>
      </c>
      <c r="H100" s="40">
        <v>0</v>
      </c>
      <c r="I100" s="40">
        <v>0</v>
      </c>
      <c r="J100" s="40">
        <v>114.11</v>
      </c>
      <c r="K100" s="40">
        <v>0</v>
      </c>
      <c r="L100" s="40">
        <v>0</v>
      </c>
      <c r="M100" s="40">
        <v>0</v>
      </c>
      <c r="N100" s="40">
        <v>0</v>
      </c>
      <c r="O100" s="40">
        <v>1426.39</v>
      </c>
      <c r="P100" s="40">
        <v>0</v>
      </c>
      <c r="Q100" s="40">
        <v>0</v>
      </c>
      <c r="R100" s="40">
        <v>106.97</v>
      </c>
      <c r="S100" s="40">
        <v>0</v>
      </c>
      <c r="T100" s="40">
        <v>0</v>
      </c>
      <c r="U100" s="40">
        <v>0</v>
      </c>
      <c r="V100" s="40">
        <v>1426.39</v>
      </c>
      <c r="W100" s="40">
        <v>0</v>
      </c>
      <c r="X100" s="40">
        <v>0</v>
      </c>
      <c r="Y100" s="40">
        <v>0</v>
      </c>
      <c r="Z100" s="40">
        <v>0</v>
      </c>
      <c r="AA100" s="40">
        <v>53.03</v>
      </c>
      <c r="AB100" s="40">
        <v>285.27999999999997</v>
      </c>
      <c r="AC100" s="40">
        <v>82.73</v>
      </c>
      <c r="AD100" s="40">
        <v>528.01</v>
      </c>
      <c r="AE100" s="49">
        <f t="shared" si="24"/>
        <v>0</v>
      </c>
      <c r="AF100" s="49">
        <f t="shared" si="25"/>
        <v>0</v>
      </c>
      <c r="AG100" t="s">
        <v>162</v>
      </c>
      <c r="AH100" s="55">
        <v>1426.39</v>
      </c>
      <c r="AI100">
        <v>114.11</v>
      </c>
      <c r="AJ100" s="49">
        <f t="shared" si="14"/>
        <v>0</v>
      </c>
      <c r="AK100" s="49">
        <f t="shared" si="15"/>
        <v>0</v>
      </c>
      <c r="AL100" t="s">
        <v>162</v>
      </c>
      <c r="AM100" s="81">
        <v>1426.39</v>
      </c>
      <c r="AN100" s="81">
        <v>106.97</v>
      </c>
      <c r="AO100" s="81">
        <v>0</v>
      </c>
      <c r="AP100" s="81">
        <v>0</v>
      </c>
    </row>
    <row r="101" spans="1:42" ht="15" customHeight="1">
      <c r="A101" s="38" t="s">
        <v>163</v>
      </c>
      <c r="B101" s="38" t="s">
        <v>108</v>
      </c>
      <c r="C101" s="38" t="s">
        <v>99</v>
      </c>
      <c r="D101" s="38" t="s">
        <v>66</v>
      </c>
      <c r="E101" s="39">
        <v>0</v>
      </c>
      <c r="F101" s="39">
        <v>0</v>
      </c>
      <c r="G101" s="39">
        <v>0</v>
      </c>
      <c r="H101" s="40">
        <v>0</v>
      </c>
      <c r="I101" s="40">
        <v>0</v>
      </c>
      <c r="J101" s="40">
        <v>0</v>
      </c>
      <c r="K101" s="40">
        <v>0</v>
      </c>
      <c r="L101" s="40">
        <v>0</v>
      </c>
      <c r="M101" s="40">
        <v>0</v>
      </c>
      <c r="N101" s="40">
        <v>0</v>
      </c>
      <c r="O101" s="40">
        <v>0</v>
      </c>
      <c r="P101" s="40">
        <v>0</v>
      </c>
      <c r="Q101" s="40">
        <v>0</v>
      </c>
      <c r="R101" s="40">
        <v>0</v>
      </c>
      <c r="S101" s="40">
        <v>0</v>
      </c>
      <c r="T101" s="40">
        <v>0</v>
      </c>
      <c r="U101" s="40">
        <v>0</v>
      </c>
      <c r="V101" s="40">
        <v>0</v>
      </c>
      <c r="W101" s="40">
        <v>0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40">
        <v>0</v>
      </c>
      <c r="AD101" s="40">
        <v>0</v>
      </c>
      <c r="AE101" s="49">
        <f t="shared" si="24"/>
        <v>0</v>
      </c>
      <c r="AF101" s="49">
        <f t="shared" si="25"/>
        <v>0</v>
      </c>
      <c r="AH101" s="55"/>
      <c r="AJ101" s="49">
        <f t="shared" ref="AJ101:AJ122" si="26">(O101+P101)-(AM101+AO101)</f>
        <v>0</v>
      </c>
      <c r="AK101" s="49">
        <f t="shared" ref="AK101:AK122" si="27">(R101+S101+T101+U101)-(AN101+AP101)</f>
        <v>0</v>
      </c>
      <c r="AM101" s="81"/>
      <c r="AN101" s="81"/>
      <c r="AO101" s="81"/>
      <c r="AP101" s="81"/>
    </row>
    <row r="102" spans="1:42" ht="15" customHeight="1">
      <c r="A102" s="38" t="s">
        <v>164</v>
      </c>
      <c r="B102" s="38" t="s">
        <v>68</v>
      </c>
      <c r="C102" s="38" t="s">
        <v>65</v>
      </c>
      <c r="D102" s="38" t="s">
        <v>66</v>
      </c>
      <c r="E102" s="39">
        <v>6075.86</v>
      </c>
      <c r="F102" s="39">
        <v>0</v>
      </c>
      <c r="G102" s="39">
        <v>0</v>
      </c>
      <c r="H102" s="40">
        <v>0</v>
      </c>
      <c r="I102" s="40">
        <v>0</v>
      </c>
      <c r="J102" s="40">
        <v>486.07</v>
      </c>
      <c r="K102" s="40">
        <v>0</v>
      </c>
      <c r="L102" s="40">
        <v>0</v>
      </c>
      <c r="M102" s="40">
        <v>0</v>
      </c>
      <c r="N102" s="40">
        <v>0</v>
      </c>
      <c r="O102" s="40">
        <v>6075.86</v>
      </c>
      <c r="P102" s="40">
        <v>0</v>
      </c>
      <c r="Q102" s="40">
        <v>0</v>
      </c>
      <c r="R102" s="40">
        <v>652.12</v>
      </c>
      <c r="S102" s="40">
        <v>0</v>
      </c>
      <c r="T102" s="40">
        <v>0</v>
      </c>
      <c r="U102" s="40">
        <v>0</v>
      </c>
      <c r="V102" s="40">
        <v>6075.86</v>
      </c>
      <c r="W102" s="40">
        <v>0</v>
      </c>
      <c r="X102" s="40">
        <v>413.14</v>
      </c>
      <c r="Y102" s="40">
        <v>0</v>
      </c>
      <c r="Z102" s="40">
        <v>0</v>
      </c>
      <c r="AA102" s="40">
        <v>225.89</v>
      </c>
      <c r="AB102" s="40">
        <v>1215.17</v>
      </c>
      <c r="AC102" s="40">
        <v>352.4</v>
      </c>
      <c r="AD102" s="40">
        <v>2445.59</v>
      </c>
      <c r="AE102" s="49">
        <f t="shared" si="24"/>
        <v>0</v>
      </c>
      <c r="AF102" s="49">
        <f t="shared" si="25"/>
        <v>9.9999999999909051E-3</v>
      </c>
      <c r="AG102" t="s">
        <v>164</v>
      </c>
      <c r="AH102" s="55">
        <v>6075.86</v>
      </c>
      <c r="AI102">
        <v>486.06</v>
      </c>
      <c r="AJ102" s="49">
        <f t="shared" si="26"/>
        <v>0</v>
      </c>
      <c r="AK102" s="49">
        <f t="shared" si="27"/>
        <v>0</v>
      </c>
      <c r="AL102" t="s">
        <v>164</v>
      </c>
      <c r="AM102" s="81">
        <v>6075.86</v>
      </c>
      <c r="AN102" s="81">
        <v>652.12</v>
      </c>
      <c r="AO102" s="81">
        <v>0</v>
      </c>
      <c r="AP102" s="81">
        <v>0</v>
      </c>
    </row>
    <row r="103" spans="1:42" ht="15" customHeight="1">
      <c r="A103" s="38" t="s">
        <v>165</v>
      </c>
      <c r="B103" s="38" t="s">
        <v>108</v>
      </c>
      <c r="C103" s="38" t="s">
        <v>65</v>
      </c>
      <c r="D103" s="38" t="s">
        <v>66</v>
      </c>
      <c r="E103" s="39">
        <v>3988.92</v>
      </c>
      <c r="F103" s="39">
        <v>0</v>
      </c>
      <c r="G103" s="39">
        <v>0</v>
      </c>
      <c r="H103" s="40">
        <v>0</v>
      </c>
      <c r="I103" s="40">
        <v>0</v>
      </c>
      <c r="J103" s="40">
        <v>319.11</v>
      </c>
      <c r="K103" s="40">
        <v>0</v>
      </c>
      <c r="L103" s="40">
        <v>0</v>
      </c>
      <c r="M103" s="40">
        <v>0</v>
      </c>
      <c r="N103" s="40">
        <v>0</v>
      </c>
      <c r="O103" s="40">
        <v>3988.92</v>
      </c>
      <c r="P103" s="40">
        <v>0</v>
      </c>
      <c r="Q103" s="40">
        <v>0</v>
      </c>
      <c r="R103" s="40">
        <v>367.25</v>
      </c>
      <c r="S103" s="40">
        <v>0</v>
      </c>
      <c r="T103" s="40">
        <v>0</v>
      </c>
      <c r="U103" s="40">
        <v>0</v>
      </c>
      <c r="V103" s="40">
        <v>3988.92</v>
      </c>
      <c r="W103" s="40">
        <v>0</v>
      </c>
      <c r="X103" s="40">
        <v>0</v>
      </c>
      <c r="Y103" s="40">
        <v>0</v>
      </c>
      <c r="Z103" s="40">
        <v>0</v>
      </c>
      <c r="AA103" s="40">
        <v>148.30000000000001</v>
      </c>
      <c r="AB103" s="40">
        <v>797.78</v>
      </c>
      <c r="AC103" s="40">
        <v>231.36</v>
      </c>
      <c r="AD103" s="40">
        <v>1544.7</v>
      </c>
      <c r="AE103" s="49">
        <f t="shared" si="24"/>
        <v>0</v>
      </c>
      <c r="AF103" s="49">
        <f t="shared" si="25"/>
        <v>0</v>
      </c>
      <c r="AG103" t="s">
        <v>368</v>
      </c>
      <c r="AH103" s="55">
        <v>3988.92</v>
      </c>
      <c r="AI103">
        <v>319.11</v>
      </c>
      <c r="AJ103" s="49">
        <f t="shared" si="26"/>
        <v>0</v>
      </c>
      <c r="AK103" s="49">
        <f t="shared" si="27"/>
        <v>0</v>
      </c>
      <c r="AL103" t="s">
        <v>368</v>
      </c>
      <c r="AM103" s="81">
        <v>3988.92</v>
      </c>
      <c r="AN103" s="81">
        <v>367.25</v>
      </c>
      <c r="AO103" s="81">
        <v>0</v>
      </c>
      <c r="AP103" s="81">
        <v>0</v>
      </c>
    </row>
    <row r="104" spans="1:42" ht="15" customHeight="1">
      <c r="A104" s="38" t="s">
        <v>166</v>
      </c>
      <c r="B104" s="38" t="s">
        <v>152</v>
      </c>
      <c r="C104" s="38" t="s">
        <v>65</v>
      </c>
      <c r="D104" s="38" t="s">
        <v>66</v>
      </c>
      <c r="E104" s="39">
        <v>2323.8000000000002</v>
      </c>
      <c r="F104" s="39">
        <v>0</v>
      </c>
      <c r="G104" s="39">
        <v>0</v>
      </c>
      <c r="H104" s="40">
        <v>0</v>
      </c>
      <c r="I104" s="40">
        <v>0</v>
      </c>
      <c r="J104" s="40">
        <v>185.9</v>
      </c>
      <c r="K104" s="40">
        <v>0</v>
      </c>
      <c r="L104" s="40">
        <v>0</v>
      </c>
      <c r="M104" s="40">
        <v>0</v>
      </c>
      <c r="N104" s="40">
        <v>0</v>
      </c>
      <c r="O104" s="40">
        <v>2323.8000000000002</v>
      </c>
      <c r="P104" s="40">
        <v>0</v>
      </c>
      <c r="Q104" s="40">
        <v>0</v>
      </c>
      <c r="R104" s="40">
        <v>184.82</v>
      </c>
      <c r="S104" s="40">
        <v>0</v>
      </c>
      <c r="T104" s="40">
        <v>0</v>
      </c>
      <c r="U104" s="40">
        <v>0</v>
      </c>
      <c r="V104" s="40">
        <v>2323.8000000000002</v>
      </c>
      <c r="W104" s="40">
        <v>0</v>
      </c>
      <c r="X104" s="40">
        <v>0</v>
      </c>
      <c r="Y104" s="40">
        <v>0</v>
      </c>
      <c r="Z104" s="40">
        <v>0</v>
      </c>
      <c r="AA104" s="40">
        <v>86.4</v>
      </c>
      <c r="AB104" s="40">
        <v>464.76</v>
      </c>
      <c r="AC104" s="40">
        <v>134.78</v>
      </c>
      <c r="AD104" s="40">
        <v>870.76</v>
      </c>
      <c r="AE104" s="49">
        <f t="shared" si="24"/>
        <v>0</v>
      </c>
      <c r="AF104" s="49">
        <f t="shared" si="25"/>
        <v>0</v>
      </c>
      <c r="AG104" t="s">
        <v>166</v>
      </c>
      <c r="AH104" s="55">
        <v>2323.8000000000002</v>
      </c>
      <c r="AI104">
        <v>185.9</v>
      </c>
      <c r="AJ104" s="49">
        <f t="shared" si="26"/>
        <v>0</v>
      </c>
      <c r="AK104" s="49">
        <f t="shared" si="27"/>
        <v>0</v>
      </c>
      <c r="AL104" t="s">
        <v>166</v>
      </c>
      <c r="AM104" s="81">
        <v>2323.8000000000002</v>
      </c>
      <c r="AN104" s="81">
        <v>184.82</v>
      </c>
      <c r="AO104" s="81">
        <v>0</v>
      </c>
      <c r="AP104" s="81">
        <v>0</v>
      </c>
    </row>
    <row r="105" spans="1:42" ht="15" customHeight="1">
      <c r="A105" s="38" t="s">
        <v>167</v>
      </c>
      <c r="B105" s="38" t="s">
        <v>113</v>
      </c>
      <c r="C105" s="38" t="s">
        <v>65</v>
      </c>
      <c r="D105" s="38" t="s">
        <v>66</v>
      </c>
      <c r="E105" s="39">
        <v>1070.01</v>
      </c>
      <c r="F105" s="39">
        <v>0</v>
      </c>
      <c r="G105" s="39">
        <v>0</v>
      </c>
      <c r="H105" s="40">
        <v>0</v>
      </c>
      <c r="I105" s="40">
        <v>0</v>
      </c>
      <c r="J105" s="40">
        <v>85.6</v>
      </c>
      <c r="K105" s="40">
        <v>0</v>
      </c>
      <c r="L105" s="40">
        <v>0</v>
      </c>
      <c r="M105" s="40">
        <v>0</v>
      </c>
      <c r="N105" s="40">
        <v>0</v>
      </c>
      <c r="O105" s="40">
        <v>1070.01</v>
      </c>
      <c r="P105" s="40">
        <v>0</v>
      </c>
      <c r="Q105" s="40">
        <v>0</v>
      </c>
      <c r="R105" s="40">
        <v>80.25</v>
      </c>
      <c r="S105" s="40">
        <v>0</v>
      </c>
      <c r="T105" s="40">
        <v>0</v>
      </c>
      <c r="U105" s="40">
        <v>0</v>
      </c>
      <c r="V105" s="40">
        <v>1070.01</v>
      </c>
      <c r="W105" s="40">
        <v>0</v>
      </c>
      <c r="X105" s="40">
        <v>0</v>
      </c>
      <c r="Y105" s="40">
        <v>0</v>
      </c>
      <c r="Z105" s="40">
        <v>0</v>
      </c>
      <c r="AA105" s="40">
        <v>39.78</v>
      </c>
      <c r="AB105" s="40">
        <v>214</v>
      </c>
      <c r="AC105" s="40">
        <v>62.06</v>
      </c>
      <c r="AD105" s="40">
        <v>396.09</v>
      </c>
      <c r="AE105" s="49">
        <f t="shared" si="24"/>
        <v>0</v>
      </c>
      <c r="AF105" s="49">
        <f t="shared" si="25"/>
        <v>0</v>
      </c>
      <c r="AG105" t="s">
        <v>167</v>
      </c>
      <c r="AH105" s="55">
        <v>1070.01</v>
      </c>
      <c r="AI105">
        <v>85.6</v>
      </c>
      <c r="AJ105" s="49">
        <f t="shared" si="26"/>
        <v>0</v>
      </c>
      <c r="AK105" s="49">
        <f t="shared" si="27"/>
        <v>0</v>
      </c>
      <c r="AL105" t="s">
        <v>167</v>
      </c>
      <c r="AM105" s="81">
        <v>1070.01</v>
      </c>
      <c r="AN105" s="81">
        <v>80.25</v>
      </c>
      <c r="AO105" s="81">
        <v>0</v>
      </c>
      <c r="AP105" s="81">
        <v>0</v>
      </c>
    </row>
    <row r="106" spans="1:42" ht="15" customHeight="1">
      <c r="A106" s="38" t="s">
        <v>168</v>
      </c>
      <c r="B106" s="38" t="s">
        <v>124</v>
      </c>
      <c r="C106" s="38" t="s">
        <v>65</v>
      </c>
      <c r="D106" s="38" t="s">
        <v>66</v>
      </c>
      <c r="E106" s="39">
        <v>3002.16</v>
      </c>
      <c r="F106" s="39">
        <v>0</v>
      </c>
      <c r="G106" s="39">
        <v>0</v>
      </c>
      <c r="H106" s="40">
        <v>0</v>
      </c>
      <c r="I106" s="40">
        <v>0</v>
      </c>
      <c r="J106" s="40">
        <v>240.17</v>
      </c>
      <c r="K106" s="40">
        <v>0</v>
      </c>
      <c r="L106" s="40">
        <v>0</v>
      </c>
      <c r="M106" s="40">
        <v>0</v>
      </c>
      <c r="N106" s="40">
        <v>0</v>
      </c>
      <c r="O106" s="40">
        <v>3002.16</v>
      </c>
      <c r="P106" s="40">
        <v>0</v>
      </c>
      <c r="Q106" s="40">
        <v>0</v>
      </c>
      <c r="R106" s="40">
        <v>248.84</v>
      </c>
      <c r="S106" s="40">
        <v>0</v>
      </c>
      <c r="T106" s="40">
        <v>0</v>
      </c>
      <c r="U106" s="40">
        <v>0</v>
      </c>
      <c r="V106" s="40">
        <v>3002.16</v>
      </c>
      <c r="W106" s="40">
        <v>0</v>
      </c>
      <c r="X106" s="40">
        <v>0</v>
      </c>
      <c r="Y106" s="40">
        <v>0</v>
      </c>
      <c r="Z106" s="40">
        <v>0</v>
      </c>
      <c r="AA106" s="40">
        <v>111.62</v>
      </c>
      <c r="AB106" s="40">
        <v>600.42999999999995</v>
      </c>
      <c r="AC106" s="40">
        <v>174.13</v>
      </c>
      <c r="AD106" s="40">
        <v>1135.01</v>
      </c>
      <c r="AE106" s="49">
        <f t="shared" si="24"/>
        <v>0</v>
      </c>
      <c r="AF106" s="49">
        <f t="shared" si="25"/>
        <v>0</v>
      </c>
      <c r="AG106" t="s">
        <v>168</v>
      </c>
      <c r="AH106" s="55">
        <v>3002.16</v>
      </c>
      <c r="AI106">
        <v>240.17</v>
      </c>
      <c r="AJ106" s="49">
        <f t="shared" si="26"/>
        <v>0</v>
      </c>
      <c r="AK106" s="49">
        <f t="shared" si="27"/>
        <v>0</v>
      </c>
      <c r="AL106" t="s">
        <v>168</v>
      </c>
      <c r="AM106" s="81">
        <v>3002.16</v>
      </c>
      <c r="AN106" s="81">
        <v>248.84</v>
      </c>
      <c r="AO106" s="81">
        <v>0</v>
      </c>
      <c r="AP106" s="81">
        <v>0</v>
      </c>
    </row>
    <row r="107" spans="1:42" ht="15" customHeight="1">
      <c r="A107" s="38" t="s">
        <v>169</v>
      </c>
      <c r="B107" s="38" t="s">
        <v>124</v>
      </c>
      <c r="C107" s="38" t="s">
        <v>65</v>
      </c>
      <c r="D107" s="38" t="s">
        <v>66</v>
      </c>
      <c r="E107" s="39">
        <v>3016.46</v>
      </c>
      <c r="F107" s="39">
        <v>0</v>
      </c>
      <c r="G107" s="39">
        <v>0</v>
      </c>
      <c r="H107" s="40">
        <v>0</v>
      </c>
      <c r="I107" s="40">
        <v>0</v>
      </c>
      <c r="J107" s="40">
        <v>241.32</v>
      </c>
      <c r="K107" s="40">
        <v>0</v>
      </c>
      <c r="L107" s="40">
        <v>0</v>
      </c>
      <c r="M107" s="40">
        <v>0</v>
      </c>
      <c r="N107" s="40">
        <v>0</v>
      </c>
      <c r="O107" s="40">
        <v>3016.46</v>
      </c>
      <c r="P107" s="40">
        <v>0</v>
      </c>
      <c r="Q107" s="40">
        <v>0</v>
      </c>
      <c r="R107" s="40">
        <v>250.56</v>
      </c>
      <c r="S107" s="40">
        <v>0</v>
      </c>
      <c r="T107" s="40">
        <v>0</v>
      </c>
      <c r="U107" s="40">
        <v>0</v>
      </c>
      <c r="V107" s="40">
        <v>3016.46</v>
      </c>
      <c r="W107" s="40">
        <v>0</v>
      </c>
      <c r="X107" s="40">
        <v>0</v>
      </c>
      <c r="Y107" s="40">
        <v>0</v>
      </c>
      <c r="Z107" s="40">
        <v>0</v>
      </c>
      <c r="AA107" s="40">
        <v>112.15</v>
      </c>
      <c r="AB107" s="40">
        <v>603.29</v>
      </c>
      <c r="AC107" s="40">
        <v>174.95</v>
      </c>
      <c r="AD107" s="40">
        <v>1140.96</v>
      </c>
      <c r="AE107" s="49">
        <f t="shared" si="24"/>
        <v>0</v>
      </c>
      <c r="AF107" s="49">
        <f t="shared" si="25"/>
        <v>9.9999999999909051E-3</v>
      </c>
      <c r="AG107" t="s">
        <v>169</v>
      </c>
      <c r="AH107" s="55">
        <v>3016.46</v>
      </c>
      <c r="AI107">
        <v>241.31</v>
      </c>
      <c r="AJ107" s="49">
        <f t="shared" si="26"/>
        <v>0</v>
      </c>
      <c r="AK107" s="49">
        <f t="shared" si="27"/>
        <v>0</v>
      </c>
      <c r="AL107" t="s">
        <v>169</v>
      </c>
      <c r="AM107" s="81">
        <v>3016.46</v>
      </c>
      <c r="AN107" s="81">
        <v>250.56</v>
      </c>
      <c r="AO107" s="81">
        <v>0</v>
      </c>
      <c r="AP107" s="81">
        <v>0</v>
      </c>
    </row>
    <row r="108" spans="1:42" ht="15" customHeight="1">
      <c r="A108" s="38" t="s">
        <v>170</v>
      </c>
      <c r="B108" s="38" t="s">
        <v>84</v>
      </c>
      <c r="C108" s="38" t="s">
        <v>65</v>
      </c>
      <c r="D108" s="38" t="s">
        <v>66</v>
      </c>
      <c r="E108" s="39">
        <v>2354.0100000000002</v>
      </c>
      <c r="F108" s="39">
        <v>0</v>
      </c>
      <c r="G108" s="39">
        <v>0</v>
      </c>
      <c r="H108" s="40">
        <v>0</v>
      </c>
      <c r="I108" s="40">
        <v>0</v>
      </c>
      <c r="J108" s="40">
        <v>188.32</v>
      </c>
      <c r="K108" s="40">
        <v>0</v>
      </c>
      <c r="L108" s="40">
        <v>0</v>
      </c>
      <c r="M108" s="40">
        <v>0</v>
      </c>
      <c r="N108" s="40">
        <v>0</v>
      </c>
      <c r="O108" s="40">
        <v>2354.0100000000002</v>
      </c>
      <c r="P108" s="40">
        <v>0</v>
      </c>
      <c r="Q108" s="40">
        <v>0</v>
      </c>
      <c r="R108" s="40">
        <v>187.54</v>
      </c>
      <c r="S108" s="40">
        <v>0</v>
      </c>
      <c r="T108" s="40">
        <v>0</v>
      </c>
      <c r="U108" s="40">
        <v>0</v>
      </c>
      <c r="V108" s="40">
        <v>2354.0100000000002</v>
      </c>
      <c r="W108" s="40">
        <v>0</v>
      </c>
      <c r="X108" s="40">
        <v>0</v>
      </c>
      <c r="Y108" s="40">
        <v>0</v>
      </c>
      <c r="Z108" s="40">
        <v>0</v>
      </c>
      <c r="AA108" s="40">
        <v>87.52</v>
      </c>
      <c r="AB108" s="40">
        <v>470.8</v>
      </c>
      <c r="AC108" s="40">
        <v>136.53</v>
      </c>
      <c r="AD108" s="40">
        <v>882.39</v>
      </c>
      <c r="AE108" s="49">
        <f t="shared" si="24"/>
        <v>0</v>
      </c>
      <c r="AF108" s="49">
        <f t="shared" si="25"/>
        <v>0</v>
      </c>
      <c r="AG108" t="s">
        <v>170</v>
      </c>
      <c r="AH108" s="55">
        <v>2354.0100000000002</v>
      </c>
      <c r="AI108">
        <v>188.32</v>
      </c>
      <c r="AJ108" s="49">
        <f t="shared" si="26"/>
        <v>0</v>
      </c>
      <c r="AK108" s="49">
        <f t="shared" si="27"/>
        <v>0</v>
      </c>
      <c r="AL108" t="s">
        <v>170</v>
      </c>
      <c r="AM108" s="81">
        <v>2354.0100000000002</v>
      </c>
      <c r="AN108" s="81">
        <v>187.54</v>
      </c>
      <c r="AO108" s="81">
        <v>0</v>
      </c>
      <c r="AP108" s="81">
        <v>0</v>
      </c>
    </row>
    <row r="109" spans="1:42" ht="15" customHeight="1">
      <c r="A109" s="38" t="s">
        <v>171</v>
      </c>
      <c r="B109" s="38" t="s">
        <v>87</v>
      </c>
      <c r="C109" s="38" t="s">
        <v>65</v>
      </c>
      <c r="D109" s="38" t="s">
        <v>66</v>
      </c>
      <c r="E109" s="39">
        <v>6000</v>
      </c>
      <c r="F109" s="39">
        <v>0</v>
      </c>
      <c r="G109" s="39">
        <v>0</v>
      </c>
      <c r="H109" s="40">
        <v>0</v>
      </c>
      <c r="I109" s="40">
        <v>0</v>
      </c>
      <c r="J109" s="40">
        <v>480</v>
      </c>
      <c r="K109" s="40">
        <v>0</v>
      </c>
      <c r="L109" s="40">
        <v>0</v>
      </c>
      <c r="M109" s="40">
        <v>0</v>
      </c>
      <c r="N109" s="40">
        <v>0</v>
      </c>
      <c r="O109" s="40">
        <v>6000</v>
      </c>
      <c r="P109" s="40">
        <v>0</v>
      </c>
      <c r="Q109" s="40">
        <v>0</v>
      </c>
      <c r="R109" s="40">
        <v>641.5</v>
      </c>
      <c r="S109" s="40">
        <v>0</v>
      </c>
      <c r="T109" s="40">
        <v>0</v>
      </c>
      <c r="U109" s="40">
        <v>0</v>
      </c>
      <c r="V109" s="40">
        <v>6000</v>
      </c>
      <c r="W109" s="40">
        <v>0</v>
      </c>
      <c r="X109" s="40">
        <v>385.1</v>
      </c>
      <c r="Y109" s="40">
        <v>0</v>
      </c>
      <c r="Z109" s="40">
        <v>0</v>
      </c>
      <c r="AA109" s="40">
        <v>223.07</v>
      </c>
      <c r="AB109" s="40">
        <v>1200</v>
      </c>
      <c r="AC109" s="40">
        <v>348</v>
      </c>
      <c r="AD109" s="40">
        <v>2412.5700000000002</v>
      </c>
      <c r="AE109" s="49">
        <f t="shared" si="24"/>
        <v>0</v>
      </c>
      <c r="AF109" s="49">
        <f t="shared" si="25"/>
        <v>0</v>
      </c>
      <c r="AG109" t="s">
        <v>171</v>
      </c>
      <c r="AH109" s="55">
        <v>6000</v>
      </c>
      <c r="AI109">
        <v>480</v>
      </c>
      <c r="AJ109" s="49">
        <f t="shared" si="26"/>
        <v>0</v>
      </c>
      <c r="AK109" s="49">
        <f t="shared" si="27"/>
        <v>0</v>
      </c>
      <c r="AL109" t="s">
        <v>171</v>
      </c>
      <c r="AM109" s="81">
        <v>6000</v>
      </c>
      <c r="AN109" s="81">
        <v>641.5</v>
      </c>
      <c r="AO109" s="81">
        <v>0</v>
      </c>
      <c r="AP109" s="81">
        <v>0</v>
      </c>
    </row>
    <row r="110" spans="1:42" ht="15" customHeight="1">
      <c r="A110" s="38" t="s">
        <v>172</v>
      </c>
      <c r="B110" s="38" t="s">
        <v>64</v>
      </c>
      <c r="C110" s="38" t="s">
        <v>65</v>
      </c>
      <c r="D110" s="38" t="s">
        <v>66</v>
      </c>
      <c r="E110" s="39">
        <v>2435.5</v>
      </c>
      <c r="F110" s="39">
        <v>0</v>
      </c>
      <c r="G110" s="39">
        <v>0</v>
      </c>
      <c r="H110" s="40">
        <v>0</v>
      </c>
      <c r="I110" s="40">
        <v>0</v>
      </c>
      <c r="J110" s="40">
        <v>194.84</v>
      </c>
      <c r="K110" s="40">
        <v>0</v>
      </c>
      <c r="L110" s="40">
        <v>0</v>
      </c>
      <c r="M110" s="40">
        <v>0</v>
      </c>
      <c r="N110" s="40">
        <v>0</v>
      </c>
      <c r="O110" s="40">
        <v>2435.5</v>
      </c>
      <c r="P110" s="40">
        <v>0</v>
      </c>
      <c r="Q110" s="40">
        <v>0</v>
      </c>
      <c r="R110" s="40">
        <v>194.87</v>
      </c>
      <c r="S110" s="40">
        <v>0</v>
      </c>
      <c r="T110" s="40">
        <v>0</v>
      </c>
      <c r="U110" s="40">
        <v>0</v>
      </c>
      <c r="V110" s="40">
        <v>2435.5</v>
      </c>
      <c r="W110" s="40">
        <v>0</v>
      </c>
      <c r="X110" s="40">
        <v>0</v>
      </c>
      <c r="Y110" s="40">
        <v>0</v>
      </c>
      <c r="Z110" s="40">
        <v>0</v>
      </c>
      <c r="AA110" s="40">
        <v>90.55</v>
      </c>
      <c r="AB110" s="40">
        <v>487.1</v>
      </c>
      <c r="AC110" s="40">
        <v>141.26</v>
      </c>
      <c r="AD110" s="40">
        <v>913.78</v>
      </c>
      <c r="AE110" s="49">
        <f t="shared" si="24"/>
        <v>0</v>
      </c>
      <c r="AF110" s="49">
        <f t="shared" si="25"/>
        <v>0</v>
      </c>
      <c r="AG110" t="s">
        <v>172</v>
      </c>
      <c r="AH110" s="55">
        <v>2435.5</v>
      </c>
      <c r="AI110">
        <v>194.84</v>
      </c>
      <c r="AJ110" s="49">
        <f t="shared" si="26"/>
        <v>0</v>
      </c>
      <c r="AK110" s="49">
        <f t="shared" si="27"/>
        <v>0</v>
      </c>
      <c r="AL110" t="s">
        <v>172</v>
      </c>
      <c r="AM110" s="81">
        <v>2435.5</v>
      </c>
      <c r="AN110" s="81">
        <v>194.87</v>
      </c>
      <c r="AO110" s="81">
        <v>0</v>
      </c>
      <c r="AP110" s="81">
        <v>0</v>
      </c>
    </row>
    <row r="111" spans="1:42" ht="15" customHeight="1">
      <c r="A111" s="38" t="s">
        <v>173</v>
      </c>
      <c r="B111" s="38" t="s">
        <v>71</v>
      </c>
      <c r="C111" s="38" t="s">
        <v>65</v>
      </c>
      <c r="D111" s="38" t="s">
        <v>66</v>
      </c>
      <c r="E111" s="39">
        <v>1627.12</v>
      </c>
      <c r="F111" s="39">
        <v>0</v>
      </c>
      <c r="G111" s="39">
        <v>0</v>
      </c>
      <c r="H111" s="40">
        <v>0</v>
      </c>
      <c r="I111" s="40">
        <v>0</v>
      </c>
      <c r="J111" s="40">
        <v>130.16999999999999</v>
      </c>
      <c r="K111" s="40">
        <v>0</v>
      </c>
      <c r="L111" s="40">
        <v>0</v>
      </c>
      <c r="M111" s="40">
        <v>0</v>
      </c>
      <c r="N111" s="40">
        <v>0</v>
      </c>
      <c r="O111" s="40">
        <v>1627.12</v>
      </c>
      <c r="P111" s="40">
        <v>0</v>
      </c>
      <c r="Q111" s="40">
        <v>0</v>
      </c>
      <c r="R111" s="40">
        <v>122.12</v>
      </c>
      <c r="S111" s="40">
        <v>0</v>
      </c>
      <c r="T111" s="40">
        <v>0</v>
      </c>
      <c r="U111" s="40">
        <v>0</v>
      </c>
      <c r="V111" s="40">
        <v>1627.12</v>
      </c>
      <c r="W111" s="40">
        <v>0</v>
      </c>
      <c r="X111" s="40">
        <v>0</v>
      </c>
      <c r="Y111" s="40">
        <v>0</v>
      </c>
      <c r="Z111" s="40">
        <v>0</v>
      </c>
      <c r="AA111" s="40">
        <v>60.49</v>
      </c>
      <c r="AB111" s="40">
        <v>325.42</v>
      </c>
      <c r="AC111" s="40">
        <v>94.37</v>
      </c>
      <c r="AD111" s="40">
        <v>602.41</v>
      </c>
      <c r="AE111" s="49">
        <f t="shared" si="24"/>
        <v>0</v>
      </c>
      <c r="AF111" s="49">
        <f t="shared" si="25"/>
        <v>9.9999999999909051E-3</v>
      </c>
      <c r="AG111" t="s">
        <v>173</v>
      </c>
      <c r="AH111" s="55">
        <v>1627.12</v>
      </c>
      <c r="AI111">
        <v>130.16</v>
      </c>
      <c r="AJ111" s="49">
        <f t="shared" si="26"/>
        <v>0</v>
      </c>
      <c r="AK111" s="49">
        <f t="shared" si="27"/>
        <v>0</v>
      </c>
      <c r="AL111" t="s">
        <v>173</v>
      </c>
      <c r="AM111" s="81">
        <v>1627.12</v>
      </c>
      <c r="AN111" s="81">
        <v>122.12</v>
      </c>
      <c r="AO111" s="81">
        <v>0</v>
      </c>
      <c r="AP111" s="81">
        <v>0</v>
      </c>
    </row>
    <row r="112" spans="1:42" ht="15" customHeight="1">
      <c r="A112" s="38" t="s">
        <v>174</v>
      </c>
      <c r="B112" s="38" t="s">
        <v>108</v>
      </c>
      <c r="C112" s="38" t="s">
        <v>65</v>
      </c>
      <c r="D112" s="38" t="s">
        <v>66</v>
      </c>
      <c r="E112" s="39">
        <v>3233.36</v>
      </c>
      <c r="F112" s="39">
        <v>0</v>
      </c>
      <c r="G112" s="39">
        <v>0</v>
      </c>
      <c r="H112" s="40">
        <v>0</v>
      </c>
      <c r="I112" s="40">
        <v>0</v>
      </c>
      <c r="J112" s="40">
        <v>258.67</v>
      </c>
      <c r="K112" s="40">
        <v>0</v>
      </c>
      <c r="L112" s="40">
        <v>0</v>
      </c>
      <c r="M112" s="40">
        <v>0</v>
      </c>
      <c r="N112" s="40">
        <v>0</v>
      </c>
      <c r="O112" s="40">
        <v>3233.36</v>
      </c>
      <c r="P112" s="40">
        <v>0</v>
      </c>
      <c r="Q112" s="40">
        <v>0</v>
      </c>
      <c r="R112" s="40">
        <v>276.58999999999997</v>
      </c>
      <c r="S112" s="40">
        <v>0</v>
      </c>
      <c r="T112" s="40">
        <v>0</v>
      </c>
      <c r="U112" s="40">
        <v>0</v>
      </c>
      <c r="V112" s="40">
        <v>3233.36</v>
      </c>
      <c r="W112" s="40">
        <v>0</v>
      </c>
      <c r="X112" s="40">
        <v>0</v>
      </c>
      <c r="Y112" s="40">
        <v>0</v>
      </c>
      <c r="Z112" s="40">
        <v>0</v>
      </c>
      <c r="AA112" s="40">
        <v>120.21</v>
      </c>
      <c r="AB112" s="40">
        <v>646.66999999999996</v>
      </c>
      <c r="AC112" s="40">
        <v>187.53</v>
      </c>
      <c r="AD112" s="40">
        <v>1231.01</v>
      </c>
      <c r="AE112" s="49">
        <f t="shared" si="24"/>
        <v>0</v>
      </c>
      <c r="AF112" s="49">
        <f t="shared" si="25"/>
        <v>9.9999999999909051E-3</v>
      </c>
      <c r="AG112" t="s">
        <v>369</v>
      </c>
      <c r="AH112" s="55">
        <v>3233.36</v>
      </c>
      <c r="AI112">
        <v>258.66000000000003</v>
      </c>
      <c r="AJ112" s="49">
        <f t="shared" si="26"/>
        <v>0</v>
      </c>
      <c r="AK112" s="49">
        <f t="shared" si="27"/>
        <v>0</v>
      </c>
      <c r="AL112" t="s">
        <v>369</v>
      </c>
      <c r="AM112" s="81">
        <v>3233.36</v>
      </c>
      <c r="AN112" s="81">
        <v>276.58999999999997</v>
      </c>
      <c r="AO112" s="81">
        <v>0</v>
      </c>
      <c r="AP112" s="81">
        <v>0</v>
      </c>
    </row>
    <row r="113" spans="1:42" ht="15" customHeight="1">
      <c r="A113" s="38" t="s">
        <v>175</v>
      </c>
      <c r="B113" s="38" t="s">
        <v>68</v>
      </c>
      <c r="C113" s="38" t="s">
        <v>65</v>
      </c>
      <c r="D113" s="38" t="s">
        <v>66</v>
      </c>
      <c r="E113" s="39">
        <v>3471.25</v>
      </c>
      <c r="F113" s="39">
        <v>0</v>
      </c>
      <c r="G113" s="39">
        <v>0</v>
      </c>
      <c r="H113" s="40">
        <v>0</v>
      </c>
      <c r="I113" s="40">
        <v>0</v>
      </c>
      <c r="J113" s="40">
        <v>277.7</v>
      </c>
      <c r="K113" s="40">
        <v>0</v>
      </c>
      <c r="L113" s="40">
        <v>0</v>
      </c>
      <c r="M113" s="40">
        <v>0</v>
      </c>
      <c r="N113" s="40">
        <v>0</v>
      </c>
      <c r="O113" s="40">
        <v>3471.25</v>
      </c>
      <c r="P113" s="40">
        <v>0</v>
      </c>
      <c r="Q113" s="40">
        <v>0</v>
      </c>
      <c r="R113" s="40">
        <v>305.13</v>
      </c>
      <c r="S113" s="40">
        <v>0</v>
      </c>
      <c r="T113" s="40">
        <v>0</v>
      </c>
      <c r="U113" s="40">
        <v>0</v>
      </c>
      <c r="V113" s="40">
        <v>3471.25</v>
      </c>
      <c r="W113" s="40">
        <v>0</v>
      </c>
      <c r="X113" s="40">
        <v>0</v>
      </c>
      <c r="Y113" s="40">
        <v>0</v>
      </c>
      <c r="Z113" s="40">
        <v>0</v>
      </c>
      <c r="AA113" s="40">
        <v>129.06</v>
      </c>
      <c r="AB113" s="40">
        <v>694.25</v>
      </c>
      <c r="AC113" s="40">
        <v>201.33</v>
      </c>
      <c r="AD113" s="40">
        <v>1329.77</v>
      </c>
      <c r="AE113" s="49">
        <f t="shared" si="24"/>
        <v>0</v>
      </c>
      <c r="AF113" s="49">
        <f t="shared" si="25"/>
        <v>0</v>
      </c>
      <c r="AG113" t="s">
        <v>175</v>
      </c>
      <c r="AH113" s="55">
        <v>3471.25</v>
      </c>
      <c r="AI113">
        <v>277.7</v>
      </c>
      <c r="AJ113" s="49">
        <f t="shared" si="26"/>
        <v>0</v>
      </c>
      <c r="AK113" s="49">
        <f t="shared" si="27"/>
        <v>0</v>
      </c>
      <c r="AL113" t="s">
        <v>175</v>
      </c>
      <c r="AM113" s="81">
        <v>3471.25</v>
      </c>
      <c r="AN113" s="81">
        <v>305.13</v>
      </c>
      <c r="AO113" s="81">
        <v>0</v>
      </c>
      <c r="AP113" s="81">
        <v>0</v>
      </c>
    </row>
    <row r="114" spans="1:42" ht="15" customHeight="1">
      <c r="A114" s="38" t="s">
        <v>176</v>
      </c>
      <c r="B114" s="38" t="s">
        <v>68</v>
      </c>
      <c r="C114" s="38" t="s">
        <v>65</v>
      </c>
      <c r="D114" s="38" t="s">
        <v>66</v>
      </c>
      <c r="E114" s="39">
        <v>3165.68</v>
      </c>
      <c r="F114" s="39">
        <v>0</v>
      </c>
      <c r="G114" s="39">
        <v>0</v>
      </c>
      <c r="H114" s="40">
        <v>0</v>
      </c>
      <c r="I114" s="40">
        <v>0</v>
      </c>
      <c r="J114" s="40">
        <v>253.25</v>
      </c>
      <c r="K114" s="40">
        <v>0</v>
      </c>
      <c r="L114" s="40">
        <v>0</v>
      </c>
      <c r="M114" s="40">
        <v>0</v>
      </c>
      <c r="N114" s="40">
        <v>0</v>
      </c>
      <c r="O114" s="40">
        <v>3165.68</v>
      </c>
      <c r="P114" s="40">
        <v>0</v>
      </c>
      <c r="Q114" s="40">
        <v>0</v>
      </c>
      <c r="R114" s="40">
        <v>268.47000000000003</v>
      </c>
      <c r="S114" s="40">
        <v>0</v>
      </c>
      <c r="T114" s="40">
        <v>0</v>
      </c>
      <c r="U114" s="40">
        <v>0</v>
      </c>
      <c r="V114" s="40">
        <v>3165.68</v>
      </c>
      <c r="W114" s="40">
        <v>0</v>
      </c>
      <c r="X114" s="40">
        <v>0</v>
      </c>
      <c r="Y114" s="40">
        <v>0</v>
      </c>
      <c r="Z114" s="40">
        <v>0</v>
      </c>
      <c r="AA114" s="40">
        <v>117.7</v>
      </c>
      <c r="AB114" s="40">
        <v>633.14</v>
      </c>
      <c r="AC114" s="40">
        <v>183.61</v>
      </c>
      <c r="AD114" s="40">
        <v>1202.9100000000001</v>
      </c>
      <c r="AE114" s="49">
        <f t="shared" si="24"/>
        <v>0</v>
      </c>
      <c r="AF114" s="49">
        <f t="shared" si="25"/>
        <v>0</v>
      </c>
      <c r="AG114" t="s">
        <v>176</v>
      </c>
      <c r="AH114" s="55">
        <v>3165.68</v>
      </c>
      <c r="AI114">
        <v>253.25</v>
      </c>
      <c r="AJ114" s="49">
        <f t="shared" si="26"/>
        <v>0</v>
      </c>
      <c r="AK114" s="49">
        <f t="shared" si="27"/>
        <v>0</v>
      </c>
      <c r="AL114" t="s">
        <v>176</v>
      </c>
      <c r="AM114" s="81">
        <v>3165.68</v>
      </c>
      <c r="AN114" s="81">
        <v>268.47000000000003</v>
      </c>
      <c r="AO114" s="81">
        <v>0</v>
      </c>
      <c r="AP114" s="81">
        <v>0</v>
      </c>
    </row>
    <row r="115" spans="1:42" ht="15" customHeight="1">
      <c r="A115" s="38" t="s">
        <v>177</v>
      </c>
      <c r="B115" s="38" t="s">
        <v>152</v>
      </c>
      <c r="C115" s="38" t="s">
        <v>65</v>
      </c>
      <c r="D115" s="38" t="s">
        <v>66</v>
      </c>
      <c r="E115" s="39">
        <v>4081.23</v>
      </c>
      <c r="F115" s="39">
        <v>0</v>
      </c>
      <c r="G115" s="39">
        <v>0</v>
      </c>
      <c r="H115" s="40">
        <v>0</v>
      </c>
      <c r="I115" s="40">
        <v>0</v>
      </c>
      <c r="J115" s="40">
        <v>326.5</v>
      </c>
      <c r="K115" s="40">
        <v>0</v>
      </c>
      <c r="L115" s="40">
        <v>0</v>
      </c>
      <c r="M115" s="40">
        <v>0</v>
      </c>
      <c r="N115" s="40">
        <v>0</v>
      </c>
      <c r="O115" s="40">
        <v>4081.23</v>
      </c>
      <c r="P115" s="40">
        <v>0</v>
      </c>
      <c r="Q115" s="40">
        <v>0</v>
      </c>
      <c r="R115" s="40">
        <v>378.33</v>
      </c>
      <c r="S115" s="40">
        <v>0</v>
      </c>
      <c r="T115" s="40">
        <v>0</v>
      </c>
      <c r="U115" s="40">
        <v>0</v>
      </c>
      <c r="V115" s="40">
        <v>4081.23</v>
      </c>
      <c r="W115" s="40">
        <v>0</v>
      </c>
      <c r="X115" s="40">
        <v>0</v>
      </c>
      <c r="Y115" s="40">
        <v>0</v>
      </c>
      <c r="Z115" s="40">
        <v>0</v>
      </c>
      <c r="AA115" s="40">
        <v>151.74</v>
      </c>
      <c r="AB115" s="40">
        <v>816.25</v>
      </c>
      <c r="AC115" s="40">
        <v>236.71</v>
      </c>
      <c r="AD115" s="40">
        <v>1583.02</v>
      </c>
      <c r="AE115" s="49">
        <f t="shared" si="24"/>
        <v>0</v>
      </c>
      <c r="AF115" s="49">
        <f t="shared" si="25"/>
        <v>9.9999999999909051E-3</v>
      </c>
      <c r="AG115" t="s">
        <v>177</v>
      </c>
      <c r="AH115" s="55">
        <v>4081.23</v>
      </c>
      <c r="AI115">
        <v>326.49</v>
      </c>
      <c r="AJ115" s="49">
        <f t="shared" si="26"/>
        <v>0</v>
      </c>
      <c r="AK115" s="49">
        <f t="shared" si="27"/>
        <v>0</v>
      </c>
      <c r="AL115" t="s">
        <v>177</v>
      </c>
      <c r="AM115" s="81">
        <v>4081.23</v>
      </c>
      <c r="AN115" s="81">
        <v>378.33</v>
      </c>
      <c r="AO115" s="81">
        <v>0</v>
      </c>
      <c r="AP115" s="81">
        <v>0</v>
      </c>
    </row>
    <row r="116" spans="1:42" ht="15" customHeight="1">
      <c r="A116" s="38" t="s">
        <v>178</v>
      </c>
      <c r="B116" s="38" t="s">
        <v>87</v>
      </c>
      <c r="C116" s="38" t="s">
        <v>65</v>
      </c>
      <c r="D116" s="38" t="s">
        <v>66</v>
      </c>
      <c r="E116" s="39">
        <v>2164.8000000000002</v>
      </c>
      <c r="F116" s="39">
        <v>0</v>
      </c>
      <c r="G116" s="39">
        <v>0</v>
      </c>
      <c r="H116" s="40">
        <v>0</v>
      </c>
      <c r="I116" s="40">
        <v>0</v>
      </c>
      <c r="J116" s="40">
        <v>173.18</v>
      </c>
      <c r="K116" s="40">
        <v>0</v>
      </c>
      <c r="L116" s="40">
        <v>0</v>
      </c>
      <c r="M116" s="40">
        <v>0</v>
      </c>
      <c r="N116" s="40">
        <v>0</v>
      </c>
      <c r="O116" s="40">
        <v>2164.8000000000002</v>
      </c>
      <c r="P116" s="40">
        <v>0</v>
      </c>
      <c r="Q116" s="40">
        <v>0</v>
      </c>
      <c r="R116" s="40">
        <v>170.51</v>
      </c>
      <c r="S116" s="40">
        <v>0</v>
      </c>
      <c r="T116" s="40">
        <v>0</v>
      </c>
      <c r="U116" s="40">
        <v>0</v>
      </c>
      <c r="V116" s="40">
        <v>2164.8000000000002</v>
      </c>
      <c r="W116" s="40">
        <v>0</v>
      </c>
      <c r="X116" s="40">
        <v>0</v>
      </c>
      <c r="Y116" s="40">
        <v>0</v>
      </c>
      <c r="Z116" s="40">
        <v>0</v>
      </c>
      <c r="AA116" s="40">
        <v>80.489999999999995</v>
      </c>
      <c r="AB116" s="40">
        <v>432.96</v>
      </c>
      <c r="AC116" s="40">
        <v>125.56</v>
      </c>
      <c r="AD116" s="40">
        <v>809.51</v>
      </c>
      <c r="AE116" s="49">
        <f t="shared" si="24"/>
        <v>0</v>
      </c>
      <c r="AF116" s="49">
        <f t="shared" si="25"/>
        <v>0</v>
      </c>
      <c r="AG116" t="s">
        <v>178</v>
      </c>
      <c r="AH116" s="55">
        <v>2164.8000000000002</v>
      </c>
      <c r="AI116">
        <v>173.18</v>
      </c>
      <c r="AJ116" s="49">
        <f t="shared" si="26"/>
        <v>0</v>
      </c>
      <c r="AK116" s="49">
        <f t="shared" si="27"/>
        <v>0</v>
      </c>
      <c r="AL116" t="s">
        <v>178</v>
      </c>
      <c r="AM116" s="81">
        <v>2164.8000000000002</v>
      </c>
      <c r="AN116" s="81">
        <v>170.51</v>
      </c>
      <c r="AO116" s="81">
        <v>0</v>
      </c>
      <c r="AP116" s="81">
        <v>0</v>
      </c>
    </row>
    <row r="117" spans="1:42" ht="15" customHeight="1">
      <c r="A117" s="38" t="s">
        <v>179</v>
      </c>
      <c r="B117" s="38" t="s">
        <v>96</v>
      </c>
      <c r="C117" s="38" t="s">
        <v>65</v>
      </c>
      <c r="D117" s="38" t="s">
        <v>66</v>
      </c>
      <c r="E117" s="39">
        <v>2889.12</v>
      </c>
      <c r="F117" s="39">
        <v>0</v>
      </c>
      <c r="G117" s="39">
        <v>0</v>
      </c>
      <c r="H117" s="40">
        <v>0</v>
      </c>
      <c r="I117" s="40">
        <v>0</v>
      </c>
      <c r="J117" s="40">
        <v>231.13</v>
      </c>
      <c r="K117" s="40">
        <v>0</v>
      </c>
      <c r="L117" s="40">
        <v>0</v>
      </c>
      <c r="M117" s="40">
        <v>0</v>
      </c>
      <c r="N117" s="40">
        <v>0</v>
      </c>
      <c r="O117" s="40">
        <v>2889.12</v>
      </c>
      <c r="P117" s="40">
        <v>0</v>
      </c>
      <c r="Q117" s="40">
        <v>0</v>
      </c>
      <c r="R117" s="40">
        <v>235.7</v>
      </c>
      <c r="S117" s="40">
        <v>0</v>
      </c>
      <c r="T117" s="40">
        <v>0</v>
      </c>
      <c r="U117" s="40">
        <v>0</v>
      </c>
      <c r="V117" s="40">
        <v>2889.12</v>
      </c>
      <c r="W117" s="40">
        <v>0</v>
      </c>
      <c r="X117" s="40">
        <v>0</v>
      </c>
      <c r="Y117" s="40">
        <v>0</v>
      </c>
      <c r="Z117" s="40">
        <v>0</v>
      </c>
      <c r="AA117" s="40">
        <v>107.41</v>
      </c>
      <c r="AB117" s="40">
        <v>577.82000000000005</v>
      </c>
      <c r="AC117" s="40">
        <v>167.57</v>
      </c>
      <c r="AD117" s="40">
        <v>1088.51</v>
      </c>
      <c r="AE117" s="49">
        <f t="shared" si="24"/>
        <v>0</v>
      </c>
      <c r="AF117" s="49">
        <f t="shared" si="25"/>
        <v>9.9999999999909051E-3</v>
      </c>
      <c r="AG117" t="s">
        <v>179</v>
      </c>
      <c r="AH117" s="55">
        <v>2889.12</v>
      </c>
      <c r="AI117">
        <v>231.12</v>
      </c>
      <c r="AJ117" s="49">
        <f t="shared" si="26"/>
        <v>0</v>
      </c>
      <c r="AK117" s="49">
        <f t="shared" si="27"/>
        <v>0</v>
      </c>
      <c r="AL117" t="s">
        <v>179</v>
      </c>
      <c r="AM117" s="81">
        <v>2889.12</v>
      </c>
      <c r="AN117" s="81">
        <v>235.7</v>
      </c>
      <c r="AO117" s="81">
        <v>0</v>
      </c>
      <c r="AP117" s="81">
        <v>0</v>
      </c>
    </row>
    <row r="118" spans="1:42" ht="15" customHeight="1">
      <c r="A118" s="38" t="s">
        <v>180</v>
      </c>
      <c r="B118" s="38" t="s">
        <v>68</v>
      </c>
      <c r="C118" s="38" t="s">
        <v>65</v>
      </c>
      <c r="D118" s="38" t="s">
        <v>66</v>
      </c>
      <c r="E118" s="39">
        <v>2898.52</v>
      </c>
      <c r="F118" s="39">
        <v>0</v>
      </c>
      <c r="G118" s="39">
        <v>0</v>
      </c>
      <c r="H118" s="40">
        <v>0</v>
      </c>
      <c r="I118" s="40">
        <v>0</v>
      </c>
      <c r="J118" s="40">
        <v>231.88</v>
      </c>
      <c r="K118" s="40">
        <v>0</v>
      </c>
      <c r="L118" s="40">
        <v>0</v>
      </c>
      <c r="M118" s="40">
        <v>0</v>
      </c>
      <c r="N118" s="40">
        <v>0</v>
      </c>
      <c r="O118" s="40">
        <v>2898.52</v>
      </c>
      <c r="P118" s="40">
        <v>0</v>
      </c>
      <c r="Q118" s="40">
        <v>0</v>
      </c>
      <c r="R118" s="40">
        <v>236.54</v>
      </c>
      <c r="S118" s="40">
        <v>0</v>
      </c>
      <c r="T118" s="40">
        <v>0</v>
      </c>
      <c r="U118" s="40">
        <v>0</v>
      </c>
      <c r="V118" s="40">
        <v>2898.52</v>
      </c>
      <c r="W118" s="40">
        <v>0</v>
      </c>
      <c r="X118" s="40">
        <v>0</v>
      </c>
      <c r="Y118" s="40">
        <v>0</v>
      </c>
      <c r="Z118" s="40">
        <v>0</v>
      </c>
      <c r="AA118" s="40">
        <v>107.76</v>
      </c>
      <c r="AB118" s="40">
        <v>579.70000000000005</v>
      </c>
      <c r="AC118" s="40">
        <v>168.11</v>
      </c>
      <c r="AD118" s="40">
        <v>1092.1199999999999</v>
      </c>
      <c r="AE118" s="49">
        <f t="shared" si="24"/>
        <v>0</v>
      </c>
      <c r="AF118" s="49">
        <f t="shared" si="25"/>
        <v>0</v>
      </c>
      <c r="AG118" t="s">
        <v>180</v>
      </c>
      <c r="AH118" s="55">
        <v>2898.52</v>
      </c>
      <c r="AI118">
        <v>231.88</v>
      </c>
      <c r="AJ118" s="49">
        <f t="shared" si="26"/>
        <v>0</v>
      </c>
      <c r="AK118" s="49">
        <f t="shared" si="27"/>
        <v>0</v>
      </c>
      <c r="AL118" t="s">
        <v>180</v>
      </c>
      <c r="AM118" s="81">
        <v>2898.52</v>
      </c>
      <c r="AN118" s="81">
        <v>236.54</v>
      </c>
      <c r="AO118" s="81">
        <v>0</v>
      </c>
      <c r="AP118" s="81">
        <v>0</v>
      </c>
    </row>
    <row r="119" spans="1:42" ht="15" customHeight="1">
      <c r="A119" s="38" t="s">
        <v>181</v>
      </c>
      <c r="B119" s="38" t="s">
        <v>64</v>
      </c>
      <c r="C119" s="38" t="s">
        <v>65</v>
      </c>
      <c r="D119" s="38" t="s">
        <v>66</v>
      </c>
      <c r="E119" s="39">
        <v>3198.87</v>
      </c>
      <c r="F119" s="39">
        <v>0</v>
      </c>
      <c r="G119" s="39">
        <v>0</v>
      </c>
      <c r="H119" s="40">
        <v>0</v>
      </c>
      <c r="I119" s="40">
        <v>0</v>
      </c>
      <c r="J119" s="40">
        <v>255.91</v>
      </c>
      <c r="K119" s="40">
        <v>0</v>
      </c>
      <c r="L119" s="40">
        <v>0</v>
      </c>
      <c r="M119" s="40">
        <v>0</v>
      </c>
      <c r="N119" s="40">
        <v>0</v>
      </c>
      <c r="O119" s="40">
        <v>3198.87</v>
      </c>
      <c r="P119" s="40">
        <v>0</v>
      </c>
      <c r="Q119" s="40">
        <v>0</v>
      </c>
      <c r="R119" s="40">
        <v>272.45</v>
      </c>
      <c r="S119" s="40">
        <v>0</v>
      </c>
      <c r="T119" s="40">
        <v>0</v>
      </c>
      <c r="U119" s="40">
        <v>0</v>
      </c>
      <c r="V119" s="40">
        <v>3198.87</v>
      </c>
      <c r="W119" s="40">
        <v>0</v>
      </c>
      <c r="X119" s="40">
        <v>0</v>
      </c>
      <c r="Y119" s="40">
        <v>0</v>
      </c>
      <c r="Z119" s="40">
        <v>0</v>
      </c>
      <c r="AA119" s="40">
        <v>118.93</v>
      </c>
      <c r="AB119" s="40">
        <v>639.77</v>
      </c>
      <c r="AC119" s="40">
        <v>185.53</v>
      </c>
      <c r="AD119" s="40">
        <v>1216.69</v>
      </c>
      <c r="AE119" s="49">
        <f t="shared" si="24"/>
        <v>0</v>
      </c>
      <c r="AF119" s="49">
        <f t="shared" si="25"/>
        <v>9.9999999999909051E-3</v>
      </c>
      <c r="AG119" t="s">
        <v>181</v>
      </c>
      <c r="AH119" s="55">
        <v>3198.87</v>
      </c>
      <c r="AI119">
        <v>255.9</v>
      </c>
      <c r="AJ119" s="49">
        <f t="shared" si="26"/>
        <v>0</v>
      </c>
      <c r="AK119" s="49">
        <f t="shared" si="27"/>
        <v>0</v>
      </c>
      <c r="AL119" t="s">
        <v>181</v>
      </c>
      <c r="AM119" s="81">
        <v>3198.87</v>
      </c>
      <c r="AN119" s="81">
        <v>272.45</v>
      </c>
      <c r="AO119" s="81">
        <v>0</v>
      </c>
      <c r="AP119" s="81">
        <v>0</v>
      </c>
    </row>
    <row r="120" spans="1:42" ht="15" customHeight="1">
      <c r="A120" s="38" t="s">
        <v>182</v>
      </c>
      <c r="B120" s="38" t="s">
        <v>71</v>
      </c>
      <c r="C120" s="38" t="s">
        <v>65</v>
      </c>
      <c r="D120" s="38" t="s">
        <v>66</v>
      </c>
      <c r="E120" s="39">
        <v>2400</v>
      </c>
      <c r="F120" s="39">
        <v>0</v>
      </c>
      <c r="G120" s="39">
        <v>0</v>
      </c>
      <c r="H120" s="40">
        <v>0</v>
      </c>
      <c r="I120" s="40">
        <v>0</v>
      </c>
      <c r="J120" s="40">
        <v>192</v>
      </c>
      <c r="K120" s="40">
        <v>0</v>
      </c>
      <c r="L120" s="40">
        <v>0</v>
      </c>
      <c r="M120" s="40">
        <v>0</v>
      </c>
      <c r="N120" s="40">
        <v>0</v>
      </c>
      <c r="O120" s="40">
        <v>2400</v>
      </c>
      <c r="P120" s="40">
        <v>0</v>
      </c>
      <c r="Q120" s="40">
        <v>0</v>
      </c>
      <c r="R120" s="40">
        <v>191.68</v>
      </c>
      <c r="S120" s="40">
        <v>0</v>
      </c>
      <c r="T120" s="40">
        <v>0</v>
      </c>
      <c r="U120" s="40">
        <v>0</v>
      </c>
      <c r="V120" s="40">
        <v>2400</v>
      </c>
      <c r="W120" s="40">
        <v>0</v>
      </c>
      <c r="X120" s="40">
        <v>0</v>
      </c>
      <c r="Y120" s="40">
        <v>0</v>
      </c>
      <c r="Z120" s="40">
        <v>0</v>
      </c>
      <c r="AA120" s="40">
        <v>89.23</v>
      </c>
      <c r="AB120" s="40">
        <v>480</v>
      </c>
      <c r="AC120" s="40">
        <v>139.19999999999999</v>
      </c>
      <c r="AD120" s="40">
        <v>900.11</v>
      </c>
      <c r="AE120" s="49">
        <f t="shared" si="24"/>
        <v>0</v>
      </c>
      <c r="AF120" s="49">
        <f t="shared" si="25"/>
        <v>0</v>
      </c>
      <c r="AG120" t="s">
        <v>182</v>
      </c>
      <c r="AH120" s="55">
        <v>2400</v>
      </c>
      <c r="AI120">
        <v>192</v>
      </c>
      <c r="AJ120" s="49">
        <f t="shared" si="26"/>
        <v>0</v>
      </c>
      <c r="AK120" s="49">
        <f t="shared" si="27"/>
        <v>0</v>
      </c>
      <c r="AL120" t="s">
        <v>182</v>
      </c>
      <c r="AM120" s="81">
        <v>2400</v>
      </c>
      <c r="AN120" s="81">
        <v>191.68</v>
      </c>
      <c r="AO120" s="81">
        <v>0</v>
      </c>
      <c r="AP120" s="81">
        <v>0</v>
      </c>
    </row>
    <row r="121" spans="1:42" ht="15" customHeight="1">
      <c r="A121" s="38" t="s">
        <v>183</v>
      </c>
      <c r="B121" s="38" t="s">
        <v>134</v>
      </c>
      <c r="C121" s="38" t="s">
        <v>65</v>
      </c>
      <c r="D121" s="38" t="s">
        <v>66</v>
      </c>
      <c r="E121" s="39">
        <v>2283.0500000000002</v>
      </c>
      <c r="F121" s="39">
        <v>0</v>
      </c>
      <c r="G121" s="39">
        <v>0</v>
      </c>
      <c r="H121" s="40">
        <v>0</v>
      </c>
      <c r="I121" s="40">
        <v>0</v>
      </c>
      <c r="J121" s="40">
        <v>182.64</v>
      </c>
      <c r="K121" s="40">
        <v>0</v>
      </c>
      <c r="L121" s="40">
        <v>0</v>
      </c>
      <c r="M121" s="40">
        <v>0</v>
      </c>
      <c r="N121" s="40">
        <v>0</v>
      </c>
      <c r="O121" s="40">
        <v>2283.0500000000002</v>
      </c>
      <c r="P121" s="40">
        <v>0</v>
      </c>
      <c r="Q121" s="40">
        <v>0</v>
      </c>
      <c r="R121" s="40">
        <v>181.15</v>
      </c>
      <c r="S121" s="40">
        <v>0</v>
      </c>
      <c r="T121" s="40">
        <v>0</v>
      </c>
      <c r="U121" s="40">
        <v>0</v>
      </c>
      <c r="V121" s="40">
        <v>1452.64</v>
      </c>
      <c r="W121" s="40">
        <v>0</v>
      </c>
      <c r="X121" s="40">
        <v>0</v>
      </c>
      <c r="Y121" s="40">
        <v>0</v>
      </c>
      <c r="Z121" s="40">
        <v>0</v>
      </c>
      <c r="AA121" s="40">
        <v>84.88</v>
      </c>
      <c r="AB121" s="40">
        <v>456.61</v>
      </c>
      <c r="AC121" s="40">
        <v>132.41999999999999</v>
      </c>
      <c r="AD121" s="40">
        <v>855.06</v>
      </c>
      <c r="AE121" s="49">
        <f t="shared" si="24"/>
        <v>0</v>
      </c>
      <c r="AF121" s="49">
        <f t="shared" si="25"/>
        <v>0</v>
      </c>
      <c r="AG121" t="s">
        <v>183</v>
      </c>
      <c r="AH121" s="55">
        <v>2283.0500000000002</v>
      </c>
      <c r="AI121">
        <v>182.64</v>
      </c>
      <c r="AJ121" s="49">
        <f t="shared" si="26"/>
        <v>0</v>
      </c>
      <c r="AK121" s="49">
        <f t="shared" si="27"/>
        <v>0</v>
      </c>
      <c r="AL121" t="s">
        <v>183</v>
      </c>
      <c r="AM121" s="81">
        <v>2283.0500000000002</v>
      </c>
      <c r="AN121" s="81">
        <v>181.15</v>
      </c>
      <c r="AO121" s="81">
        <v>0</v>
      </c>
      <c r="AP121" s="81">
        <v>0</v>
      </c>
    </row>
    <row r="122" spans="1:42" ht="15" customHeight="1">
      <c r="A122" s="38" t="s">
        <v>184</v>
      </c>
      <c r="B122" s="38" t="s">
        <v>87</v>
      </c>
      <c r="C122" s="38" t="s">
        <v>65</v>
      </c>
      <c r="D122" s="38" t="s">
        <v>66</v>
      </c>
      <c r="E122" s="39">
        <v>2918.69</v>
      </c>
      <c r="F122" s="39">
        <v>0</v>
      </c>
      <c r="G122" s="39">
        <v>0</v>
      </c>
      <c r="H122" s="40">
        <v>0</v>
      </c>
      <c r="I122" s="40">
        <v>0</v>
      </c>
      <c r="J122" s="40">
        <v>233.5</v>
      </c>
      <c r="K122" s="40">
        <v>0</v>
      </c>
      <c r="L122" s="40">
        <v>0</v>
      </c>
      <c r="M122" s="40">
        <v>0</v>
      </c>
      <c r="N122" s="40">
        <v>0</v>
      </c>
      <c r="O122" s="40">
        <v>2918.69</v>
      </c>
      <c r="P122" s="40">
        <v>0</v>
      </c>
      <c r="Q122" s="40">
        <v>0</v>
      </c>
      <c r="R122" s="40">
        <v>238.83</v>
      </c>
      <c r="S122" s="40">
        <v>0</v>
      </c>
      <c r="T122" s="40">
        <v>0</v>
      </c>
      <c r="U122" s="40">
        <v>0</v>
      </c>
      <c r="V122" s="40">
        <v>2918.69</v>
      </c>
      <c r="W122" s="40">
        <v>0</v>
      </c>
      <c r="X122" s="40">
        <v>0</v>
      </c>
      <c r="Y122" s="40">
        <v>0</v>
      </c>
      <c r="Z122" s="40">
        <v>0</v>
      </c>
      <c r="AA122" s="40">
        <v>108.51</v>
      </c>
      <c r="AB122" s="40">
        <v>583.74</v>
      </c>
      <c r="AC122" s="40">
        <v>169.28</v>
      </c>
      <c r="AD122" s="40">
        <v>1100.3699999999999</v>
      </c>
      <c r="AE122" s="49">
        <f t="shared" si="24"/>
        <v>0</v>
      </c>
      <c r="AF122" s="49">
        <f t="shared" si="25"/>
        <v>9.9999999999909051E-3</v>
      </c>
      <c r="AG122" t="s">
        <v>184</v>
      </c>
      <c r="AH122" s="55">
        <v>2918.69</v>
      </c>
      <c r="AI122">
        <v>233.49</v>
      </c>
      <c r="AJ122" s="49">
        <f t="shared" si="26"/>
        <v>0</v>
      </c>
      <c r="AK122" s="49">
        <f t="shared" si="27"/>
        <v>0</v>
      </c>
      <c r="AL122" t="s">
        <v>184</v>
      </c>
      <c r="AM122" s="81">
        <v>2918.69</v>
      </c>
      <c r="AN122" s="81">
        <v>238.83</v>
      </c>
      <c r="AO122" s="81">
        <v>0</v>
      </c>
      <c r="AP122" s="81">
        <v>0</v>
      </c>
    </row>
    <row r="123" spans="1:42" ht="15" customHeight="1">
      <c r="A123" s="38" t="s">
        <v>185</v>
      </c>
      <c r="B123" s="38" t="s">
        <v>186</v>
      </c>
      <c r="C123" s="38" t="s">
        <v>99</v>
      </c>
      <c r="D123" s="38" t="s">
        <v>66</v>
      </c>
      <c r="E123" s="39">
        <v>0</v>
      </c>
      <c r="F123" s="39">
        <v>0</v>
      </c>
      <c r="G123" s="39">
        <v>0</v>
      </c>
      <c r="H123" s="40">
        <v>0</v>
      </c>
      <c r="I123" s="40">
        <v>0</v>
      </c>
      <c r="J123" s="40">
        <v>0</v>
      </c>
      <c r="K123" s="40">
        <v>0</v>
      </c>
      <c r="L123" s="40">
        <v>0</v>
      </c>
      <c r="M123" s="40">
        <v>0</v>
      </c>
      <c r="N123" s="40">
        <v>0</v>
      </c>
      <c r="O123" s="40">
        <v>0</v>
      </c>
      <c r="P123" s="40">
        <v>0</v>
      </c>
      <c r="Q123" s="40">
        <v>0</v>
      </c>
      <c r="R123" s="40">
        <v>0</v>
      </c>
      <c r="S123" s="40">
        <v>0</v>
      </c>
      <c r="T123" s="40">
        <v>0</v>
      </c>
      <c r="U123" s="40">
        <v>0</v>
      </c>
      <c r="V123" s="40">
        <v>0</v>
      </c>
      <c r="W123" s="40">
        <v>0</v>
      </c>
      <c r="X123" s="40">
        <v>0</v>
      </c>
      <c r="Y123" s="40">
        <v>0</v>
      </c>
      <c r="Z123" s="40">
        <v>0</v>
      </c>
      <c r="AA123" s="40">
        <v>0</v>
      </c>
      <c r="AB123" s="40">
        <v>0</v>
      </c>
      <c r="AC123" s="40">
        <v>0</v>
      </c>
      <c r="AD123" s="40">
        <v>0</v>
      </c>
      <c r="AE123" s="49">
        <f t="shared" ref="AE123:AE136" si="28">(E123+F123+G123+H123+I123)-AH123</f>
        <v>0</v>
      </c>
      <c r="AF123" s="49">
        <f t="shared" ref="AF123:AF136" si="29">(J123+K123+L123+M123+N123)-AI123</f>
        <v>0</v>
      </c>
      <c r="AH123" s="55"/>
      <c r="AJ123" s="49">
        <f t="shared" ref="AJ123:AJ139" si="30">(O123+P123)-(AM123+AO123)</f>
        <v>0</v>
      </c>
      <c r="AK123" s="49">
        <f t="shared" ref="AK123:AK139" si="31">(R123+S123+T123+U123)-(AN123+AP123)</f>
        <v>0</v>
      </c>
      <c r="AM123" s="81"/>
      <c r="AN123" s="81"/>
      <c r="AO123" s="81"/>
      <c r="AP123" s="81"/>
    </row>
    <row r="124" spans="1:42" ht="15" customHeight="1">
      <c r="A124" s="38" t="s">
        <v>187</v>
      </c>
      <c r="B124" s="38" t="s">
        <v>68</v>
      </c>
      <c r="C124" s="38" t="s">
        <v>65</v>
      </c>
      <c r="D124" s="38" t="s">
        <v>66</v>
      </c>
      <c r="E124" s="39">
        <v>6386.04</v>
      </c>
      <c r="F124" s="39">
        <v>0</v>
      </c>
      <c r="G124" s="39">
        <v>0</v>
      </c>
      <c r="H124" s="40">
        <v>0</v>
      </c>
      <c r="I124" s="40">
        <v>0</v>
      </c>
      <c r="J124" s="40">
        <v>510.88</v>
      </c>
      <c r="K124" s="40">
        <v>0</v>
      </c>
      <c r="L124" s="40">
        <v>0</v>
      </c>
      <c r="M124" s="40">
        <v>0</v>
      </c>
      <c r="N124" s="40">
        <v>0</v>
      </c>
      <c r="O124" s="40">
        <v>6386.04</v>
      </c>
      <c r="P124" s="40">
        <v>0</v>
      </c>
      <c r="Q124" s="40">
        <v>0</v>
      </c>
      <c r="R124" s="40">
        <v>695.54</v>
      </c>
      <c r="S124" s="40">
        <v>0</v>
      </c>
      <c r="T124" s="40">
        <v>0</v>
      </c>
      <c r="U124" s="40">
        <v>0</v>
      </c>
      <c r="V124" s="40">
        <v>6386.04</v>
      </c>
      <c r="W124" s="40">
        <v>0</v>
      </c>
      <c r="X124" s="40">
        <v>527.79999999999995</v>
      </c>
      <c r="Y124" s="40">
        <v>0</v>
      </c>
      <c r="Z124" s="40">
        <v>0</v>
      </c>
      <c r="AA124" s="40">
        <v>237.43</v>
      </c>
      <c r="AB124" s="40">
        <v>1277.21</v>
      </c>
      <c r="AC124" s="40">
        <v>370.39</v>
      </c>
      <c r="AD124" s="40">
        <v>2580.56</v>
      </c>
      <c r="AE124" s="49">
        <f t="shared" si="28"/>
        <v>0</v>
      </c>
      <c r="AF124" s="49">
        <f t="shared" si="29"/>
        <v>0</v>
      </c>
      <c r="AG124" t="s">
        <v>187</v>
      </c>
      <c r="AH124" s="55">
        <v>6386.04</v>
      </c>
      <c r="AI124">
        <v>510.88</v>
      </c>
      <c r="AJ124" s="49">
        <f t="shared" si="30"/>
        <v>0</v>
      </c>
      <c r="AK124" s="49">
        <f t="shared" si="31"/>
        <v>0</v>
      </c>
      <c r="AL124" t="s">
        <v>187</v>
      </c>
      <c r="AM124" s="81">
        <v>6386.04</v>
      </c>
      <c r="AN124" s="81">
        <v>695.54</v>
      </c>
      <c r="AO124" s="81">
        <v>0</v>
      </c>
      <c r="AP124" s="81">
        <v>0</v>
      </c>
    </row>
    <row r="125" spans="1:42" ht="15" customHeight="1">
      <c r="A125" s="38" t="s">
        <v>188</v>
      </c>
      <c r="B125" s="38" t="s">
        <v>68</v>
      </c>
      <c r="C125" s="38" t="s">
        <v>65</v>
      </c>
      <c r="D125" s="38" t="s">
        <v>66</v>
      </c>
      <c r="E125" s="39">
        <v>3748.94</v>
      </c>
      <c r="F125" s="39">
        <v>0</v>
      </c>
      <c r="G125" s="39">
        <v>0</v>
      </c>
      <c r="H125" s="40">
        <v>0</v>
      </c>
      <c r="I125" s="40">
        <v>0</v>
      </c>
      <c r="J125" s="40">
        <v>299.92</v>
      </c>
      <c r="K125" s="40">
        <v>0</v>
      </c>
      <c r="L125" s="40">
        <v>0</v>
      </c>
      <c r="M125" s="40">
        <v>0</v>
      </c>
      <c r="N125" s="40">
        <v>0</v>
      </c>
      <c r="O125" s="40">
        <v>3748.94</v>
      </c>
      <c r="P125" s="40">
        <v>0</v>
      </c>
      <c r="Q125" s="40">
        <v>0</v>
      </c>
      <c r="R125" s="40">
        <v>338.46</v>
      </c>
      <c r="S125" s="40">
        <v>0</v>
      </c>
      <c r="T125" s="40">
        <v>0</v>
      </c>
      <c r="U125" s="40">
        <v>0</v>
      </c>
      <c r="V125" s="40">
        <v>3748.94</v>
      </c>
      <c r="W125" s="40">
        <v>0</v>
      </c>
      <c r="X125" s="40">
        <v>0</v>
      </c>
      <c r="Y125" s="40">
        <v>0</v>
      </c>
      <c r="Z125" s="40">
        <v>0</v>
      </c>
      <c r="AA125" s="40">
        <v>139.38</v>
      </c>
      <c r="AB125" s="40">
        <v>749.79</v>
      </c>
      <c r="AC125" s="40">
        <v>217.44</v>
      </c>
      <c r="AD125" s="40">
        <v>1445.07</v>
      </c>
      <c r="AE125" s="49">
        <f t="shared" si="28"/>
        <v>0</v>
      </c>
      <c r="AF125" s="49">
        <f t="shared" si="29"/>
        <v>9.9999999999909051E-3</v>
      </c>
      <c r="AG125" t="s">
        <v>188</v>
      </c>
      <c r="AH125" s="55">
        <v>3748.94</v>
      </c>
      <c r="AI125">
        <v>299.91000000000003</v>
      </c>
      <c r="AJ125" s="49">
        <f t="shared" si="30"/>
        <v>0</v>
      </c>
      <c r="AK125" s="49">
        <f t="shared" si="31"/>
        <v>0</v>
      </c>
      <c r="AL125" t="s">
        <v>188</v>
      </c>
      <c r="AM125" s="81">
        <v>3748.94</v>
      </c>
      <c r="AN125" s="81">
        <v>338.46</v>
      </c>
      <c r="AO125" s="81">
        <v>0</v>
      </c>
      <c r="AP125" s="81">
        <v>0</v>
      </c>
    </row>
    <row r="126" spans="1:42" ht="15" customHeight="1">
      <c r="A126" s="38" t="s">
        <v>189</v>
      </c>
      <c r="B126" s="38" t="s">
        <v>134</v>
      </c>
      <c r="C126" s="38" t="s">
        <v>65</v>
      </c>
      <c r="D126" s="38" t="s">
        <v>66</v>
      </c>
      <c r="E126" s="39">
        <v>1800.11</v>
      </c>
      <c r="F126" s="39">
        <v>0</v>
      </c>
      <c r="G126" s="39">
        <v>0</v>
      </c>
      <c r="H126" s="40">
        <v>0</v>
      </c>
      <c r="I126" s="40">
        <v>0</v>
      </c>
      <c r="J126" s="40">
        <v>144.01</v>
      </c>
      <c r="K126" s="40">
        <v>0</v>
      </c>
      <c r="L126" s="40">
        <v>0</v>
      </c>
      <c r="M126" s="40">
        <v>0</v>
      </c>
      <c r="N126" s="40">
        <v>0</v>
      </c>
      <c r="O126" s="40">
        <v>1800.11</v>
      </c>
      <c r="P126" s="40">
        <v>0</v>
      </c>
      <c r="Q126" s="40">
        <v>0</v>
      </c>
      <c r="R126" s="40">
        <v>137.68</v>
      </c>
      <c r="S126" s="40">
        <v>0</v>
      </c>
      <c r="T126" s="40">
        <v>0</v>
      </c>
      <c r="U126" s="40">
        <v>0</v>
      </c>
      <c r="V126" s="40">
        <v>1800.11</v>
      </c>
      <c r="W126" s="40">
        <v>0</v>
      </c>
      <c r="X126" s="40">
        <v>0</v>
      </c>
      <c r="Y126" s="40">
        <v>0</v>
      </c>
      <c r="Z126" s="40">
        <v>0</v>
      </c>
      <c r="AA126" s="40">
        <v>66.930000000000007</v>
      </c>
      <c r="AB126" s="40">
        <v>360.02</v>
      </c>
      <c r="AC126" s="40">
        <v>104.41</v>
      </c>
      <c r="AD126" s="40">
        <v>669.03</v>
      </c>
      <c r="AE126" s="49">
        <f t="shared" si="28"/>
        <v>0</v>
      </c>
      <c r="AF126" s="49">
        <f t="shared" si="29"/>
        <v>9.9999999999909051E-3</v>
      </c>
      <c r="AG126" t="s">
        <v>189</v>
      </c>
      <c r="AH126" s="55">
        <v>1800.11</v>
      </c>
      <c r="AI126">
        <v>144</v>
      </c>
      <c r="AJ126" s="49">
        <f t="shared" si="30"/>
        <v>0</v>
      </c>
      <c r="AK126" s="49">
        <f t="shared" si="31"/>
        <v>0</v>
      </c>
      <c r="AL126" t="s">
        <v>189</v>
      </c>
      <c r="AM126" s="81">
        <v>1800.11</v>
      </c>
      <c r="AN126" s="81">
        <v>137.68</v>
      </c>
      <c r="AO126" s="81">
        <v>0</v>
      </c>
      <c r="AP126" s="81">
        <v>0</v>
      </c>
    </row>
    <row r="127" spans="1:42" ht="15" customHeight="1">
      <c r="A127" s="38" t="s">
        <v>190</v>
      </c>
      <c r="B127" s="38" t="s">
        <v>92</v>
      </c>
      <c r="C127" s="38" t="s">
        <v>65</v>
      </c>
      <c r="D127" s="38" t="s">
        <v>66</v>
      </c>
      <c r="E127" s="39">
        <v>3925.12</v>
      </c>
      <c r="F127" s="39">
        <v>0</v>
      </c>
      <c r="G127" s="39">
        <v>0</v>
      </c>
      <c r="H127" s="40">
        <v>0</v>
      </c>
      <c r="I127" s="40">
        <v>0</v>
      </c>
      <c r="J127" s="40">
        <v>314.01</v>
      </c>
      <c r="K127" s="40">
        <v>0</v>
      </c>
      <c r="L127" s="40">
        <v>0</v>
      </c>
      <c r="M127" s="40">
        <v>0</v>
      </c>
      <c r="N127" s="40">
        <v>0</v>
      </c>
      <c r="O127" s="40">
        <v>3925.12</v>
      </c>
      <c r="P127" s="40">
        <v>0</v>
      </c>
      <c r="Q127" s="40">
        <v>0</v>
      </c>
      <c r="R127" s="40">
        <v>359.6</v>
      </c>
      <c r="S127" s="40">
        <v>0</v>
      </c>
      <c r="T127" s="40">
        <v>0</v>
      </c>
      <c r="U127" s="40">
        <v>0</v>
      </c>
      <c r="V127" s="40">
        <v>3925.12</v>
      </c>
      <c r="W127" s="40">
        <v>0</v>
      </c>
      <c r="X127" s="40">
        <v>0</v>
      </c>
      <c r="Y127" s="40">
        <v>0</v>
      </c>
      <c r="Z127" s="40">
        <v>0</v>
      </c>
      <c r="AA127" s="40">
        <v>145.93</v>
      </c>
      <c r="AB127" s="40">
        <v>785.02</v>
      </c>
      <c r="AC127" s="40">
        <v>227.66</v>
      </c>
      <c r="AD127" s="40">
        <v>1518.21</v>
      </c>
      <c r="AE127" s="49">
        <f t="shared" si="28"/>
        <v>0</v>
      </c>
      <c r="AF127" s="49">
        <f t="shared" si="29"/>
        <v>9.9999999999909051E-3</v>
      </c>
      <c r="AG127" t="s">
        <v>190</v>
      </c>
      <c r="AH127" s="55">
        <v>3925.12</v>
      </c>
      <c r="AI127">
        <v>314</v>
      </c>
      <c r="AJ127" s="49">
        <f t="shared" si="30"/>
        <v>0</v>
      </c>
      <c r="AK127" s="49">
        <f t="shared" si="31"/>
        <v>0</v>
      </c>
      <c r="AL127" t="s">
        <v>190</v>
      </c>
      <c r="AM127" s="81">
        <v>3925.12</v>
      </c>
      <c r="AN127" s="81">
        <v>359.6</v>
      </c>
      <c r="AO127" s="81">
        <v>0</v>
      </c>
      <c r="AP127" s="81">
        <v>0</v>
      </c>
    </row>
    <row r="128" spans="1:42" ht="15" customHeight="1">
      <c r="A128" s="38" t="s">
        <v>191</v>
      </c>
      <c r="B128" s="38" t="s">
        <v>68</v>
      </c>
      <c r="C128" s="38" t="s">
        <v>65</v>
      </c>
      <c r="D128" s="38" t="s">
        <v>66</v>
      </c>
      <c r="E128" s="39">
        <v>3549.3</v>
      </c>
      <c r="F128" s="39">
        <v>0</v>
      </c>
      <c r="G128" s="39">
        <v>0</v>
      </c>
      <c r="H128" s="40">
        <v>0</v>
      </c>
      <c r="I128" s="40">
        <v>0</v>
      </c>
      <c r="J128" s="40">
        <v>283.94</v>
      </c>
      <c r="K128" s="40">
        <v>0</v>
      </c>
      <c r="L128" s="40">
        <v>0</v>
      </c>
      <c r="M128" s="40">
        <v>0</v>
      </c>
      <c r="N128" s="40">
        <v>0</v>
      </c>
      <c r="O128" s="40">
        <v>3549.3</v>
      </c>
      <c r="P128" s="40">
        <v>0</v>
      </c>
      <c r="Q128" s="40">
        <v>0</v>
      </c>
      <c r="R128" s="40">
        <v>314.5</v>
      </c>
      <c r="S128" s="40">
        <v>0</v>
      </c>
      <c r="T128" s="40">
        <v>0</v>
      </c>
      <c r="U128" s="40">
        <v>0</v>
      </c>
      <c r="V128" s="40">
        <v>3549.3</v>
      </c>
      <c r="W128" s="40">
        <v>0</v>
      </c>
      <c r="X128" s="40">
        <v>0</v>
      </c>
      <c r="Y128" s="40">
        <v>0</v>
      </c>
      <c r="Z128" s="40">
        <v>0</v>
      </c>
      <c r="AA128" s="40">
        <v>131.96</v>
      </c>
      <c r="AB128" s="40">
        <v>709.86</v>
      </c>
      <c r="AC128" s="40">
        <v>205.86</v>
      </c>
      <c r="AD128" s="40">
        <v>1362.18</v>
      </c>
      <c r="AE128" s="49">
        <f t="shared" si="28"/>
        <v>0</v>
      </c>
      <c r="AF128" s="49">
        <f t="shared" si="29"/>
        <v>0</v>
      </c>
      <c r="AG128" t="s">
        <v>191</v>
      </c>
      <c r="AH128" s="55">
        <v>3549.3</v>
      </c>
      <c r="AI128">
        <v>283.94</v>
      </c>
      <c r="AJ128" s="49">
        <f t="shared" si="30"/>
        <v>0</v>
      </c>
      <c r="AK128" s="49">
        <f t="shared" si="31"/>
        <v>0</v>
      </c>
      <c r="AL128" t="s">
        <v>191</v>
      </c>
      <c r="AM128" s="81">
        <v>3549.3</v>
      </c>
      <c r="AN128" s="81">
        <v>314.5</v>
      </c>
      <c r="AO128" s="81">
        <v>0</v>
      </c>
      <c r="AP128" s="81">
        <v>0</v>
      </c>
    </row>
    <row r="129" spans="1:42" ht="15" customHeight="1">
      <c r="A129" s="38" t="s">
        <v>192</v>
      </c>
      <c r="B129" s="38" t="s">
        <v>68</v>
      </c>
      <c r="C129" s="38" t="s">
        <v>65</v>
      </c>
      <c r="D129" s="38" t="s">
        <v>66</v>
      </c>
      <c r="E129" s="39">
        <v>7175.48</v>
      </c>
      <c r="F129" s="39">
        <v>0</v>
      </c>
      <c r="G129" s="39">
        <v>0</v>
      </c>
      <c r="H129" s="40">
        <v>0</v>
      </c>
      <c r="I129" s="40">
        <v>0</v>
      </c>
      <c r="J129" s="40">
        <v>574.04</v>
      </c>
      <c r="K129" s="40">
        <v>0</v>
      </c>
      <c r="L129" s="40">
        <v>0</v>
      </c>
      <c r="M129" s="40">
        <v>0</v>
      </c>
      <c r="N129" s="40">
        <v>0</v>
      </c>
      <c r="O129" s="40">
        <v>7175.48</v>
      </c>
      <c r="P129" s="40">
        <v>0</v>
      </c>
      <c r="Q129" s="40">
        <v>0</v>
      </c>
      <c r="R129" s="40">
        <v>806.06</v>
      </c>
      <c r="S129" s="40">
        <v>0</v>
      </c>
      <c r="T129" s="40">
        <v>0</v>
      </c>
      <c r="U129" s="40">
        <v>0</v>
      </c>
      <c r="V129" s="40">
        <v>7175.48</v>
      </c>
      <c r="W129" s="40">
        <v>0</v>
      </c>
      <c r="X129" s="40">
        <v>819.61</v>
      </c>
      <c r="Y129" s="40">
        <v>0</v>
      </c>
      <c r="Z129" s="40">
        <v>0</v>
      </c>
      <c r="AA129" s="40">
        <v>266.77999999999997</v>
      </c>
      <c r="AB129" s="40">
        <v>1435.1</v>
      </c>
      <c r="AC129" s="40">
        <v>416.18</v>
      </c>
      <c r="AD129" s="40">
        <v>2924.11</v>
      </c>
      <c r="AE129" s="49">
        <f t="shared" si="28"/>
        <v>0</v>
      </c>
      <c r="AF129" s="49">
        <f t="shared" si="29"/>
        <v>9.9999999999909051E-3</v>
      </c>
      <c r="AG129" t="s">
        <v>192</v>
      </c>
      <c r="AH129" s="55">
        <v>7175.48</v>
      </c>
      <c r="AI129">
        <v>574.03</v>
      </c>
      <c r="AJ129" s="49">
        <f t="shared" si="30"/>
        <v>0</v>
      </c>
      <c r="AK129" s="49">
        <f t="shared" si="31"/>
        <v>0</v>
      </c>
      <c r="AL129" t="s">
        <v>192</v>
      </c>
      <c r="AM129" s="81">
        <v>7175.48</v>
      </c>
      <c r="AN129" s="81">
        <v>806.06</v>
      </c>
      <c r="AO129" s="81">
        <v>0</v>
      </c>
      <c r="AP129" s="81">
        <v>0</v>
      </c>
    </row>
    <row r="130" spans="1:42" ht="15" customHeight="1">
      <c r="A130" s="38" t="s">
        <v>193</v>
      </c>
      <c r="B130" s="38" t="s">
        <v>68</v>
      </c>
      <c r="C130" s="38" t="s">
        <v>65</v>
      </c>
      <c r="D130" s="38" t="s">
        <v>66</v>
      </c>
      <c r="E130" s="39">
        <v>3969.81</v>
      </c>
      <c r="F130" s="39">
        <v>0</v>
      </c>
      <c r="G130" s="39">
        <v>0</v>
      </c>
      <c r="H130" s="40">
        <v>0</v>
      </c>
      <c r="I130" s="40">
        <v>0</v>
      </c>
      <c r="J130" s="40">
        <v>317.58</v>
      </c>
      <c r="K130" s="40">
        <v>0</v>
      </c>
      <c r="L130" s="40">
        <v>0</v>
      </c>
      <c r="M130" s="40">
        <v>0</v>
      </c>
      <c r="N130" s="40">
        <v>0</v>
      </c>
      <c r="O130" s="40">
        <v>3969.81</v>
      </c>
      <c r="P130" s="40">
        <v>0</v>
      </c>
      <c r="Q130" s="40">
        <v>0</v>
      </c>
      <c r="R130" s="40">
        <v>364.96</v>
      </c>
      <c r="S130" s="40">
        <v>0</v>
      </c>
      <c r="T130" s="40">
        <v>0</v>
      </c>
      <c r="U130" s="40">
        <v>0</v>
      </c>
      <c r="V130" s="40">
        <v>3969.81</v>
      </c>
      <c r="W130" s="40">
        <v>0</v>
      </c>
      <c r="X130" s="40">
        <v>0</v>
      </c>
      <c r="Y130" s="40">
        <v>0</v>
      </c>
      <c r="Z130" s="40">
        <v>0</v>
      </c>
      <c r="AA130" s="40">
        <v>147.59</v>
      </c>
      <c r="AB130" s="40">
        <v>793.96</v>
      </c>
      <c r="AC130" s="40">
        <v>230.25</v>
      </c>
      <c r="AD130" s="40">
        <v>1536.76</v>
      </c>
      <c r="AE130" s="49">
        <f t="shared" si="28"/>
        <v>0</v>
      </c>
      <c r="AF130" s="49">
        <f t="shared" si="29"/>
        <v>0</v>
      </c>
      <c r="AG130" t="s">
        <v>193</v>
      </c>
      <c r="AH130" s="55">
        <v>3969.81</v>
      </c>
      <c r="AI130">
        <v>317.58</v>
      </c>
      <c r="AJ130" s="49">
        <f t="shared" si="30"/>
        <v>0</v>
      </c>
      <c r="AK130" s="49">
        <f t="shared" si="31"/>
        <v>0</v>
      </c>
      <c r="AL130" t="s">
        <v>193</v>
      </c>
      <c r="AM130" s="81">
        <v>3969.81</v>
      </c>
      <c r="AN130" s="81">
        <v>364.96</v>
      </c>
      <c r="AO130" s="81">
        <v>0</v>
      </c>
      <c r="AP130" s="81">
        <v>0</v>
      </c>
    </row>
    <row r="131" spans="1:42" ht="15" customHeight="1">
      <c r="A131" s="38" t="s">
        <v>194</v>
      </c>
      <c r="B131" s="38" t="s">
        <v>68</v>
      </c>
      <c r="C131" s="38" t="s">
        <v>65</v>
      </c>
      <c r="D131" s="38" t="s">
        <v>66</v>
      </c>
      <c r="E131" s="39">
        <v>6570.98</v>
      </c>
      <c r="F131" s="39">
        <v>0</v>
      </c>
      <c r="G131" s="39">
        <v>0</v>
      </c>
      <c r="H131" s="40">
        <v>0</v>
      </c>
      <c r="I131" s="40">
        <v>0</v>
      </c>
      <c r="J131" s="40">
        <v>525.67999999999995</v>
      </c>
      <c r="K131" s="40">
        <v>0</v>
      </c>
      <c r="L131" s="40">
        <v>0</v>
      </c>
      <c r="M131" s="40">
        <v>0</v>
      </c>
      <c r="N131" s="40">
        <v>0</v>
      </c>
      <c r="O131" s="40">
        <v>6570.98</v>
      </c>
      <c r="P131" s="40">
        <v>0</v>
      </c>
      <c r="Q131" s="40">
        <v>0</v>
      </c>
      <c r="R131" s="40">
        <v>721.43</v>
      </c>
      <c r="S131" s="40">
        <v>0</v>
      </c>
      <c r="T131" s="40">
        <v>0</v>
      </c>
      <c r="U131" s="40">
        <v>0</v>
      </c>
      <c r="V131" s="40">
        <v>6570.98</v>
      </c>
      <c r="W131" s="40">
        <v>0</v>
      </c>
      <c r="X131" s="40">
        <v>596.16</v>
      </c>
      <c r="Y131" s="40">
        <v>0</v>
      </c>
      <c r="Z131" s="40">
        <v>0</v>
      </c>
      <c r="AA131" s="40">
        <v>244.3</v>
      </c>
      <c r="AB131" s="40">
        <v>1314.2</v>
      </c>
      <c r="AC131" s="40">
        <v>381.12</v>
      </c>
      <c r="AD131" s="40">
        <v>2661.05</v>
      </c>
      <c r="AE131" s="49">
        <f t="shared" si="28"/>
        <v>0</v>
      </c>
      <c r="AF131" s="49">
        <f t="shared" si="29"/>
        <v>9.9999999999909051E-3</v>
      </c>
      <c r="AG131" t="s">
        <v>194</v>
      </c>
      <c r="AH131" s="55">
        <v>6570.98</v>
      </c>
      <c r="AI131">
        <v>525.66999999999996</v>
      </c>
      <c r="AJ131" s="49">
        <f t="shared" si="30"/>
        <v>0</v>
      </c>
      <c r="AK131" s="49">
        <f t="shared" si="31"/>
        <v>0</v>
      </c>
      <c r="AL131" t="s">
        <v>194</v>
      </c>
      <c r="AM131" s="81">
        <v>6570.98</v>
      </c>
      <c r="AN131" s="81">
        <v>721.43</v>
      </c>
      <c r="AO131" s="81">
        <v>0</v>
      </c>
      <c r="AP131" s="81">
        <v>0</v>
      </c>
    </row>
    <row r="132" spans="1:42" ht="15" customHeight="1">
      <c r="A132" s="38" t="s">
        <v>195</v>
      </c>
      <c r="B132" s="38" t="s">
        <v>68</v>
      </c>
      <c r="C132" s="38" t="s">
        <v>65</v>
      </c>
      <c r="D132" s="38" t="s">
        <v>66</v>
      </c>
      <c r="E132" s="39">
        <v>3840.5</v>
      </c>
      <c r="F132" s="39">
        <v>0</v>
      </c>
      <c r="G132" s="39">
        <v>0</v>
      </c>
      <c r="H132" s="40">
        <v>0</v>
      </c>
      <c r="I132" s="40">
        <v>0</v>
      </c>
      <c r="J132" s="40">
        <v>307.24</v>
      </c>
      <c r="K132" s="40">
        <v>0</v>
      </c>
      <c r="L132" s="40">
        <v>0</v>
      </c>
      <c r="M132" s="40">
        <v>0</v>
      </c>
      <c r="N132" s="40">
        <v>0</v>
      </c>
      <c r="O132" s="40">
        <v>3840.5</v>
      </c>
      <c r="P132" s="40">
        <v>0</v>
      </c>
      <c r="Q132" s="40">
        <v>0</v>
      </c>
      <c r="R132" s="40">
        <v>349.44</v>
      </c>
      <c r="S132" s="40">
        <v>0</v>
      </c>
      <c r="T132" s="40">
        <v>0</v>
      </c>
      <c r="U132" s="40">
        <v>0</v>
      </c>
      <c r="V132" s="40">
        <v>3840.5</v>
      </c>
      <c r="W132" s="40">
        <v>0</v>
      </c>
      <c r="X132" s="40">
        <v>0</v>
      </c>
      <c r="Y132" s="40">
        <v>0</v>
      </c>
      <c r="Z132" s="40">
        <v>0</v>
      </c>
      <c r="AA132" s="40">
        <v>142.79</v>
      </c>
      <c r="AB132" s="40">
        <v>768.1</v>
      </c>
      <c r="AC132" s="40">
        <v>222.75</v>
      </c>
      <c r="AD132" s="40">
        <v>1483.07</v>
      </c>
      <c r="AE132" s="49">
        <f t="shared" si="28"/>
        <v>0</v>
      </c>
      <c r="AF132" s="49">
        <f t="shared" si="29"/>
        <v>0</v>
      </c>
      <c r="AG132" t="s">
        <v>195</v>
      </c>
      <c r="AH132" s="55">
        <v>3840.5</v>
      </c>
      <c r="AI132">
        <v>307.24</v>
      </c>
      <c r="AJ132" s="49">
        <f t="shared" si="30"/>
        <v>0</v>
      </c>
      <c r="AK132" s="49">
        <f t="shared" si="31"/>
        <v>0</v>
      </c>
      <c r="AL132" t="s">
        <v>195</v>
      </c>
      <c r="AM132" s="81">
        <v>3840.5</v>
      </c>
      <c r="AN132" s="81">
        <v>349.44</v>
      </c>
      <c r="AO132" s="81">
        <v>0</v>
      </c>
      <c r="AP132" s="81">
        <v>0</v>
      </c>
    </row>
    <row r="133" spans="1:42" ht="15" customHeight="1">
      <c r="A133" s="38" t="s">
        <v>196</v>
      </c>
      <c r="B133" s="38" t="s">
        <v>68</v>
      </c>
      <c r="C133" s="38" t="s">
        <v>65</v>
      </c>
      <c r="D133" s="38" t="s">
        <v>66</v>
      </c>
      <c r="E133" s="39">
        <v>6560.79</v>
      </c>
      <c r="F133" s="39">
        <v>0</v>
      </c>
      <c r="G133" s="39">
        <v>0</v>
      </c>
      <c r="H133" s="40">
        <v>0</v>
      </c>
      <c r="I133" s="40">
        <v>0</v>
      </c>
      <c r="J133" s="40">
        <v>524.86</v>
      </c>
      <c r="K133" s="40">
        <v>0</v>
      </c>
      <c r="L133" s="40">
        <v>0</v>
      </c>
      <c r="M133" s="40">
        <v>0</v>
      </c>
      <c r="N133" s="40">
        <v>0</v>
      </c>
      <c r="O133" s="40">
        <v>6560.79</v>
      </c>
      <c r="P133" s="40">
        <v>0</v>
      </c>
      <c r="Q133" s="40">
        <v>0</v>
      </c>
      <c r="R133" s="40">
        <v>720.01</v>
      </c>
      <c r="S133" s="40">
        <v>0</v>
      </c>
      <c r="T133" s="40">
        <v>0</v>
      </c>
      <c r="U133" s="40">
        <v>0</v>
      </c>
      <c r="V133" s="40">
        <v>6560.79</v>
      </c>
      <c r="W133" s="40">
        <v>0</v>
      </c>
      <c r="X133" s="40">
        <v>592.4</v>
      </c>
      <c r="Y133" s="40">
        <v>0</v>
      </c>
      <c r="Z133" s="40">
        <v>0</v>
      </c>
      <c r="AA133" s="40">
        <v>243.92</v>
      </c>
      <c r="AB133" s="40">
        <v>1312.16</v>
      </c>
      <c r="AC133" s="40">
        <v>380.53</v>
      </c>
      <c r="AD133" s="40">
        <v>2656.62</v>
      </c>
      <c r="AE133" s="49">
        <f t="shared" si="28"/>
        <v>0</v>
      </c>
      <c r="AF133" s="49">
        <f t="shared" si="29"/>
        <v>0</v>
      </c>
      <c r="AG133" t="s">
        <v>196</v>
      </c>
      <c r="AH133" s="55">
        <v>6560.79</v>
      </c>
      <c r="AI133">
        <v>524.86</v>
      </c>
      <c r="AJ133" s="49">
        <f t="shared" si="30"/>
        <v>0</v>
      </c>
      <c r="AK133" s="49">
        <f t="shared" si="31"/>
        <v>0</v>
      </c>
      <c r="AL133" t="s">
        <v>196</v>
      </c>
      <c r="AM133" s="81">
        <v>6560.79</v>
      </c>
      <c r="AN133" s="81">
        <v>720.01</v>
      </c>
      <c r="AO133" s="81">
        <v>0</v>
      </c>
      <c r="AP133" s="81">
        <v>0</v>
      </c>
    </row>
    <row r="134" spans="1:42" ht="15" customHeight="1">
      <c r="A134" s="38" t="s">
        <v>197</v>
      </c>
      <c r="B134" s="38" t="s">
        <v>68</v>
      </c>
      <c r="C134" s="38" t="s">
        <v>65</v>
      </c>
      <c r="D134" s="38" t="s">
        <v>66</v>
      </c>
      <c r="E134" s="39">
        <v>3118.86</v>
      </c>
      <c r="F134" s="39">
        <v>0</v>
      </c>
      <c r="G134" s="39">
        <v>0</v>
      </c>
      <c r="H134" s="40">
        <v>0</v>
      </c>
      <c r="I134" s="40">
        <v>0</v>
      </c>
      <c r="J134" s="40">
        <v>249.51</v>
      </c>
      <c r="K134" s="40">
        <v>0</v>
      </c>
      <c r="L134" s="40">
        <v>0</v>
      </c>
      <c r="M134" s="40">
        <v>0</v>
      </c>
      <c r="N134" s="40">
        <v>0</v>
      </c>
      <c r="O134" s="40">
        <v>3118.86</v>
      </c>
      <c r="P134" s="40">
        <v>0</v>
      </c>
      <c r="Q134" s="40">
        <v>0</v>
      </c>
      <c r="R134" s="40">
        <v>262.85000000000002</v>
      </c>
      <c r="S134" s="40">
        <v>0</v>
      </c>
      <c r="T134" s="40">
        <v>0</v>
      </c>
      <c r="U134" s="40">
        <v>0</v>
      </c>
      <c r="V134" s="40">
        <v>3118.86</v>
      </c>
      <c r="W134" s="40">
        <v>0</v>
      </c>
      <c r="X134" s="40">
        <v>0</v>
      </c>
      <c r="Y134" s="40">
        <v>0</v>
      </c>
      <c r="Z134" s="40">
        <v>0</v>
      </c>
      <c r="AA134" s="40">
        <v>115.96</v>
      </c>
      <c r="AB134" s="40">
        <v>623.77</v>
      </c>
      <c r="AC134" s="40">
        <v>180.89</v>
      </c>
      <c r="AD134" s="40">
        <v>1183.47</v>
      </c>
      <c r="AE134" s="49">
        <f t="shared" si="28"/>
        <v>0</v>
      </c>
      <c r="AF134" s="49">
        <f t="shared" si="29"/>
        <v>9.9999999999909051E-3</v>
      </c>
      <c r="AG134" t="s">
        <v>197</v>
      </c>
      <c r="AH134" s="55">
        <v>3118.86</v>
      </c>
      <c r="AI134">
        <v>249.5</v>
      </c>
      <c r="AJ134" s="49">
        <f t="shared" si="30"/>
        <v>0</v>
      </c>
      <c r="AK134" s="49">
        <f t="shared" si="31"/>
        <v>0</v>
      </c>
      <c r="AL134" t="s">
        <v>197</v>
      </c>
      <c r="AM134" s="81">
        <v>3118.86</v>
      </c>
      <c r="AN134" s="81">
        <v>262.85000000000002</v>
      </c>
      <c r="AO134" s="81">
        <v>0</v>
      </c>
      <c r="AP134" s="81">
        <v>0</v>
      </c>
    </row>
    <row r="135" spans="1:42" ht="15" customHeight="1">
      <c r="A135" s="38" t="s">
        <v>198</v>
      </c>
      <c r="B135" s="38" t="s">
        <v>108</v>
      </c>
      <c r="C135" s="38" t="s">
        <v>65</v>
      </c>
      <c r="D135" s="38" t="s">
        <v>66</v>
      </c>
      <c r="E135" s="39">
        <v>10293.540000000001</v>
      </c>
      <c r="F135" s="39">
        <v>0</v>
      </c>
      <c r="G135" s="39">
        <v>0</v>
      </c>
      <c r="H135" s="40">
        <v>0</v>
      </c>
      <c r="I135" s="40">
        <v>0</v>
      </c>
      <c r="J135" s="40">
        <v>823.48</v>
      </c>
      <c r="K135" s="40">
        <v>0</v>
      </c>
      <c r="L135" s="40">
        <v>0</v>
      </c>
      <c r="M135" s="40">
        <v>0</v>
      </c>
      <c r="N135" s="40">
        <v>0</v>
      </c>
      <c r="O135" s="40">
        <v>10293.540000000001</v>
      </c>
      <c r="P135" s="40">
        <v>0</v>
      </c>
      <c r="Q135" s="40">
        <v>0</v>
      </c>
      <c r="R135" s="40">
        <v>988.07</v>
      </c>
      <c r="S135" s="40">
        <v>0</v>
      </c>
      <c r="T135" s="40">
        <v>0</v>
      </c>
      <c r="U135" s="40">
        <v>0</v>
      </c>
      <c r="V135" s="40">
        <v>10293.540000000001</v>
      </c>
      <c r="W135" s="40">
        <v>0</v>
      </c>
      <c r="X135" s="40">
        <v>1650.27</v>
      </c>
      <c r="Y135" s="40">
        <v>0</v>
      </c>
      <c r="Z135" s="40">
        <v>0</v>
      </c>
      <c r="AA135" s="40">
        <v>382.7</v>
      </c>
      <c r="AB135" s="40">
        <v>2058.71</v>
      </c>
      <c r="AC135" s="40">
        <v>597.03</v>
      </c>
      <c r="AD135" s="40">
        <v>4026.51</v>
      </c>
      <c r="AE135" s="49">
        <f t="shared" si="28"/>
        <v>0</v>
      </c>
      <c r="AF135" s="49">
        <f t="shared" si="29"/>
        <v>0</v>
      </c>
      <c r="AG135" t="s">
        <v>370</v>
      </c>
      <c r="AH135" s="55">
        <v>10293.540000000001</v>
      </c>
      <c r="AI135">
        <v>823.48</v>
      </c>
      <c r="AJ135" s="49">
        <f t="shared" si="30"/>
        <v>0</v>
      </c>
      <c r="AK135" s="49">
        <f t="shared" si="31"/>
        <v>0</v>
      </c>
      <c r="AL135" t="s">
        <v>370</v>
      </c>
      <c r="AM135" s="81">
        <v>10293.540000000001</v>
      </c>
      <c r="AN135" s="81">
        <v>988.07</v>
      </c>
      <c r="AO135" s="81">
        <v>0</v>
      </c>
      <c r="AP135" s="81">
        <v>0</v>
      </c>
    </row>
    <row r="136" spans="1:42" ht="15" customHeight="1">
      <c r="A136" s="38" t="s">
        <v>199</v>
      </c>
      <c r="B136" s="38" t="s">
        <v>68</v>
      </c>
      <c r="C136" s="38" t="s">
        <v>65</v>
      </c>
      <c r="D136" s="38" t="s">
        <v>66</v>
      </c>
      <c r="E136" s="39">
        <v>5738.67</v>
      </c>
      <c r="F136" s="39">
        <v>0</v>
      </c>
      <c r="G136" s="39">
        <v>0</v>
      </c>
      <c r="H136" s="40">
        <v>0</v>
      </c>
      <c r="I136" s="40">
        <v>0</v>
      </c>
      <c r="J136" s="40">
        <v>459.09</v>
      </c>
      <c r="K136" s="40">
        <v>0</v>
      </c>
      <c r="L136" s="40">
        <v>0</v>
      </c>
      <c r="M136" s="40">
        <v>0</v>
      </c>
      <c r="N136" s="40">
        <v>0</v>
      </c>
      <c r="O136" s="40">
        <v>5738.67</v>
      </c>
      <c r="P136" s="40">
        <v>0</v>
      </c>
      <c r="Q136" s="40">
        <v>0</v>
      </c>
      <c r="R136" s="40">
        <v>604.91</v>
      </c>
      <c r="S136" s="40">
        <v>0</v>
      </c>
      <c r="T136" s="40">
        <v>0</v>
      </c>
      <c r="U136" s="40">
        <v>0</v>
      </c>
      <c r="V136" s="40">
        <v>5738.67</v>
      </c>
      <c r="W136" s="40">
        <v>0</v>
      </c>
      <c r="X136" s="40">
        <v>287.87</v>
      </c>
      <c r="Y136" s="40">
        <v>0</v>
      </c>
      <c r="Z136" s="40">
        <v>0</v>
      </c>
      <c r="AA136" s="40">
        <v>213.36</v>
      </c>
      <c r="AB136" s="40">
        <v>1147.73</v>
      </c>
      <c r="AC136" s="40">
        <v>332.84</v>
      </c>
      <c r="AD136" s="40">
        <v>2298.84</v>
      </c>
      <c r="AE136" s="49">
        <f t="shared" si="28"/>
        <v>0</v>
      </c>
      <c r="AF136" s="49">
        <f t="shared" si="29"/>
        <v>0</v>
      </c>
      <c r="AG136" t="s">
        <v>199</v>
      </c>
      <c r="AH136" s="55">
        <v>5738.67</v>
      </c>
      <c r="AI136">
        <v>459.09</v>
      </c>
      <c r="AJ136" s="49">
        <f t="shared" si="30"/>
        <v>0</v>
      </c>
      <c r="AK136" s="49">
        <f t="shared" si="31"/>
        <v>0</v>
      </c>
      <c r="AL136" t="s">
        <v>199</v>
      </c>
      <c r="AM136" s="81">
        <v>5738.67</v>
      </c>
      <c r="AN136" s="81">
        <v>604.91</v>
      </c>
      <c r="AO136" s="81">
        <v>0</v>
      </c>
      <c r="AP136" s="81">
        <v>0</v>
      </c>
    </row>
    <row r="137" spans="1:42" ht="15" customHeight="1">
      <c r="A137" s="38" t="s">
        <v>200</v>
      </c>
      <c r="B137" s="38" t="s">
        <v>108</v>
      </c>
      <c r="C137" s="38" t="s">
        <v>65</v>
      </c>
      <c r="D137" s="38" t="s">
        <v>82</v>
      </c>
      <c r="E137" s="39">
        <v>0</v>
      </c>
      <c r="F137" s="39">
        <v>0</v>
      </c>
      <c r="G137" s="39">
        <v>0</v>
      </c>
      <c r="H137" s="40">
        <v>0</v>
      </c>
      <c r="I137" s="40">
        <v>0</v>
      </c>
      <c r="J137" s="40">
        <v>0</v>
      </c>
      <c r="K137" s="40">
        <v>0</v>
      </c>
      <c r="L137" s="40">
        <v>0</v>
      </c>
      <c r="M137" s="40">
        <v>0</v>
      </c>
      <c r="N137" s="40">
        <v>0</v>
      </c>
      <c r="O137" s="40">
        <v>8475.5499999999993</v>
      </c>
      <c r="P137" s="40">
        <v>0</v>
      </c>
      <c r="Q137" s="40">
        <v>0</v>
      </c>
      <c r="R137" s="40">
        <v>932.31</v>
      </c>
      <c r="S137" s="40">
        <v>0</v>
      </c>
      <c r="T137" s="40">
        <v>0</v>
      </c>
      <c r="U137" s="40">
        <v>0</v>
      </c>
      <c r="V137" s="40">
        <v>8475.5499999999993</v>
      </c>
      <c r="W137" s="40">
        <v>0</v>
      </c>
      <c r="X137" s="40">
        <v>1061.3800000000001</v>
      </c>
      <c r="Y137" s="40">
        <v>0</v>
      </c>
      <c r="Z137" s="40">
        <v>0</v>
      </c>
      <c r="AA137" s="40">
        <v>315.11</v>
      </c>
      <c r="AB137" s="40">
        <v>1695.11</v>
      </c>
      <c r="AC137" s="40">
        <v>491.58</v>
      </c>
      <c r="AD137" s="40">
        <v>3434.11</v>
      </c>
      <c r="AE137" s="49">
        <f t="shared" ref="AE137:AE139" si="32">(E137+F137+G137+H137+I137)-AH137</f>
        <v>0</v>
      </c>
      <c r="AF137" s="49">
        <f t="shared" ref="AF137:AF139" si="33">(J137+K137+L137+M137+N137)-AI137</f>
        <v>0</v>
      </c>
      <c r="AH137" s="55"/>
      <c r="AJ137" s="49">
        <f t="shared" si="30"/>
        <v>0</v>
      </c>
      <c r="AK137" s="49">
        <f t="shared" si="31"/>
        <v>0</v>
      </c>
      <c r="AL137" t="s">
        <v>444</v>
      </c>
      <c r="AM137" s="81">
        <v>8475.5499999999993</v>
      </c>
      <c r="AN137" s="81">
        <v>932.31</v>
      </c>
      <c r="AO137" s="81">
        <v>0</v>
      </c>
      <c r="AP137" s="81">
        <v>0</v>
      </c>
    </row>
    <row r="138" spans="1:42" ht="15" customHeight="1">
      <c r="A138" s="38" t="s">
        <v>201</v>
      </c>
      <c r="B138" s="38" t="s">
        <v>124</v>
      </c>
      <c r="C138" s="38" t="s">
        <v>65</v>
      </c>
      <c r="D138" s="38" t="s">
        <v>66</v>
      </c>
      <c r="E138" s="39">
        <v>4352.6099999999997</v>
      </c>
      <c r="F138" s="39">
        <v>0</v>
      </c>
      <c r="G138" s="39">
        <v>0</v>
      </c>
      <c r="H138" s="40">
        <v>0</v>
      </c>
      <c r="I138" s="40">
        <v>0</v>
      </c>
      <c r="J138" s="40">
        <v>348.21</v>
      </c>
      <c r="K138" s="40">
        <v>0</v>
      </c>
      <c r="L138" s="40">
        <v>0</v>
      </c>
      <c r="M138" s="40">
        <v>0</v>
      </c>
      <c r="N138" s="40">
        <v>0</v>
      </c>
      <c r="O138" s="40">
        <v>4352.6099999999997</v>
      </c>
      <c r="P138" s="40">
        <v>0</v>
      </c>
      <c r="Q138" s="40">
        <v>0</v>
      </c>
      <c r="R138" s="40">
        <v>1.5</v>
      </c>
      <c r="S138" s="40">
        <v>0</v>
      </c>
      <c r="T138" s="40">
        <v>409.4</v>
      </c>
      <c r="U138" s="40">
        <v>0</v>
      </c>
      <c r="V138" s="40">
        <v>12.45</v>
      </c>
      <c r="W138" s="40">
        <v>4340.16</v>
      </c>
      <c r="X138" s="40">
        <v>0</v>
      </c>
      <c r="Y138" s="40">
        <v>0</v>
      </c>
      <c r="Z138" s="40">
        <v>0</v>
      </c>
      <c r="AA138" s="40">
        <v>161.83000000000001</v>
      </c>
      <c r="AB138" s="40">
        <v>870.52</v>
      </c>
      <c r="AC138" s="40">
        <v>252.45</v>
      </c>
      <c r="AD138" s="40">
        <v>1695.7</v>
      </c>
      <c r="AE138" s="49">
        <f t="shared" si="32"/>
        <v>0</v>
      </c>
      <c r="AF138" s="49">
        <f t="shared" si="33"/>
        <v>9.9999999999909051E-3</v>
      </c>
      <c r="AG138" t="s">
        <v>201</v>
      </c>
      <c r="AH138" s="55">
        <v>4352.6099999999997</v>
      </c>
      <c r="AI138">
        <v>348.2</v>
      </c>
      <c r="AJ138" s="49">
        <f t="shared" si="30"/>
        <v>0</v>
      </c>
      <c r="AK138" s="49">
        <f t="shared" si="31"/>
        <v>0</v>
      </c>
      <c r="AL138" t="s">
        <v>201</v>
      </c>
      <c r="AM138" s="81">
        <v>4352.6099999999997</v>
      </c>
      <c r="AN138" s="81">
        <v>410.9</v>
      </c>
      <c r="AO138" s="81">
        <v>0</v>
      </c>
      <c r="AP138" s="81">
        <v>0</v>
      </c>
    </row>
    <row r="139" spans="1:42" ht="15" customHeight="1">
      <c r="A139" s="38" t="s">
        <v>202</v>
      </c>
      <c r="B139" s="38" t="s">
        <v>134</v>
      </c>
      <c r="C139" s="38" t="s">
        <v>65</v>
      </c>
      <c r="D139" s="38" t="s">
        <v>66</v>
      </c>
      <c r="E139" s="39">
        <v>5257.5</v>
      </c>
      <c r="F139" s="39">
        <v>0</v>
      </c>
      <c r="G139" s="39">
        <v>0</v>
      </c>
      <c r="H139" s="40">
        <v>0</v>
      </c>
      <c r="I139" s="40">
        <v>0</v>
      </c>
      <c r="J139" s="40">
        <v>420.6</v>
      </c>
      <c r="K139" s="40">
        <v>0</v>
      </c>
      <c r="L139" s="40">
        <v>0</v>
      </c>
      <c r="M139" s="40">
        <v>0</v>
      </c>
      <c r="N139" s="40">
        <v>0</v>
      </c>
      <c r="O139" s="40">
        <v>5257.5</v>
      </c>
      <c r="P139" s="40">
        <v>0</v>
      </c>
      <c r="Q139" s="40">
        <v>0</v>
      </c>
      <c r="R139" s="40">
        <v>537.54999999999995</v>
      </c>
      <c r="S139" s="40">
        <v>0</v>
      </c>
      <c r="T139" s="40">
        <v>0</v>
      </c>
      <c r="U139" s="40">
        <v>0</v>
      </c>
      <c r="V139" s="40">
        <v>5257.5</v>
      </c>
      <c r="W139" s="40">
        <v>0</v>
      </c>
      <c r="X139" s="40">
        <v>92.21</v>
      </c>
      <c r="Y139" s="40">
        <v>0</v>
      </c>
      <c r="Z139" s="40">
        <v>0</v>
      </c>
      <c r="AA139" s="40">
        <v>195.47</v>
      </c>
      <c r="AB139" s="40">
        <v>1051.5</v>
      </c>
      <c r="AC139" s="40">
        <v>304.94</v>
      </c>
      <c r="AD139" s="40">
        <v>2089.4499999999998</v>
      </c>
      <c r="AE139" s="49">
        <f t="shared" si="32"/>
        <v>0</v>
      </c>
      <c r="AF139" s="49">
        <f t="shared" si="33"/>
        <v>0</v>
      </c>
      <c r="AG139" t="s">
        <v>202</v>
      </c>
      <c r="AH139" s="55">
        <v>5257.5</v>
      </c>
      <c r="AI139">
        <v>420.6</v>
      </c>
      <c r="AJ139" s="49">
        <f t="shared" si="30"/>
        <v>0</v>
      </c>
      <c r="AK139" s="49">
        <f t="shared" si="31"/>
        <v>0</v>
      </c>
      <c r="AL139" t="s">
        <v>202</v>
      </c>
      <c r="AM139" s="81">
        <v>5257.5</v>
      </c>
      <c r="AN139" s="81">
        <v>537.54999999999995</v>
      </c>
      <c r="AO139" s="81">
        <v>0</v>
      </c>
      <c r="AP139" s="81">
        <v>0</v>
      </c>
    </row>
    <row r="140" spans="1:42" ht="15" customHeight="1">
      <c r="A140" s="38" t="s">
        <v>203</v>
      </c>
      <c r="B140" s="38" t="s">
        <v>204</v>
      </c>
      <c r="C140" s="38" t="s">
        <v>99</v>
      </c>
      <c r="D140" s="38" t="s">
        <v>66</v>
      </c>
      <c r="E140" s="39">
        <v>0</v>
      </c>
      <c r="F140" s="39">
        <v>0</v>
      </c>
      <c r="G140" s="39">
        <v>0</v>
      </c>
      <c r="H140" s="40">
        <v>0</v>
      </c>
      <c r="I140" s="40">
        <v>0</v>
      </c>
      <c r="J140" s="40">
        <v>0</v>
      </c>
      <c r="K140" s="40">
        <v>0</v>
      </c>
      <c r="L140" s="40">
        <v>0</v>
      </c>
      <c r="M140" s="40">
        <v>0</v>
      </c>
      <c r="N140" s="40">
        <v>0</v>
      </c>
      <c r="O140" s="40">
        <v>0</v>
      </c>
      <c r="P140" s="40">
        <v>0</v>
      </c>
      <c r="Q140" s="40">
        <v>0</v>
      </c>
      <c r="R140" s="40">
        <v>0</v>
      </c>
      <c r="S140" s="40">
        <v>0</v>
      </c>
      <c r="T140" s="40">
        <v>0</v>
      </c>
      <c r="U140" s="40">
        <v>0</v>
      </c>
      <c r="V140" s="40">
        <v>0</v>
      </c>
      <c r="W140" s="40">
        <v>0</v>
      </c>
      <c r="X140" s="40">
        <v>0</v>
      </c>
      <c r="Y140" s="40">
        <v>0</v>
      </c>
      <c r="Z140" s="40">
        <v>0</v>
      </c>
      <c r="AA140" s="40">
        <v>0</v>
      </c>
      <c r="AB140" s="40">
        <v>0</v>
      </c>
      <c r="AC140" s="40">
        <v>0</v>
      </c>
      <c r="AD140" s="40">
        <v>0</v>
      </c>
      <c r="AE140" s="49">
        <f t="shared" ref="AE140:AE153" si="34">(E140+F140+G140+H140+I140)-AH140</f>
        <v>0</v>
      </c>
      <c r="AF140" s="49">
        <f t="shared" ref="AF140:AF153" si="35">(J140+K140+L140+M140+N140)-AI140</f>
        <v>0</v>
      </c>
      <c r="AH140" s="55"/>
      <c r="AJ140" s="49">
        <f t="shared" ref="AJ140:AJ166" si="36">(O140+P140)-(AM140+AO140)</f>
        <v>0</v>
      </c>
      <c r="AK140" s="49">
        <f t="shared" ref="AK140:AK166" si="37">(R140+S140+T140+U140)-(AN140+AP140)</f>
        <v>0</v>
      </c>
      <c r="AM140" s="81"/>
      <c r="AN140" s="81"/>
      <c r="AO140" s="81"/>
      <c r="AP140" s="81"/>
    </row>
    <row r="141" spans="1:42" ht="15" customHeight="1">
      <c r="A141" s="38" t="s">
        <v>205</v>
      </c>
      <c r="B141" s="38" t="s">
        <v>134</v>
      </c>
      <c r="C141" s="38" t="s">
        <v>65</v>
      </c>
      <c r="D141" s="38" t="s">
        <v>66</v>
      </c>
      <c r="E141" s="39">
        <v>2354.0100000000002</v>
      </c>
      <c r="F141" s="39">
        <v>0</v>
      </c>
      <c r="G141" s="39">
        <v>0</v>
      </c>
      <c r="H141" s="40">
        <v>0</v>
      </c>
      <c r="I141" s="40">
        <v>0</v>
      </c>
      <c r="J141" s="40">
        <v>188.32</v>
      </c>
      <c r="K141" s="40">
        <v>0</v>
      </c>
      <c r="L141" s="40">
        <v>0</v>
      </c>
      <c r="M141" s="40">
        <v>0</v>
      </c>
      <c r="N141" s="40">
        <v>0</v>
      </c>
      <c r="O141" s="40">
        <v>2354.0100000000002</v>
      </c>
      <c r="P141" s="40">
        <v>0</v>
      </c>
      <c r="Q141" s="40">
        <v>0</v>
      </c>
      <c r="R141" s="40">
        <v>187.54</v>
      </c>
      <c r="S141" s="40">
        <v>0</v>
      </c>
      <c r="T141" s="40">
        <v>0</v>
      </c>
      <c r="U141" s="40">
        <v>0</v>
      </c>
      <c r="V141" s="40">
        <v>2354.0100000000002</v>
      </c>
      <c r="W141" s="40">
        <v>0</v>
      </c>
      <c r="X141" s="40">
        <v>0</v>
      </c>
      <c r="Y141" s="40">
        <v>0</v>
      </c>
      <c r="Z141" s="40">
        <v>0</v>
      </c>
      <c r="AA141" s="40">
        <v>87.52</v>
      </c>
      <c r="AB141" s="40">
        <v>470.8</v>
      </c>
      <c r="AC141" s="40">
        <v>136.53</v>
      </c>
      <c r="AD141" s="40">
        <v>882.39</v>
      </c>
      <c r="AE141" s="49">
        <f t="shared" si="34"/>
        <v>0</v>
      </c>
      <c r="AF141" s="49">
        <f t="shared" si="35"/>
        <v>0</v>
      </c>
      <c r="AG141" t="s">
        <v>205</v>
      </c>
      <c r="AH141" s="55">
        <v>2354.0100000000002</v>
      </c>
      <c r="AI141">
        <v>188.32</v>
      </c>
      <c r="AJ141" s="49">
        <f t="shared" si="36"/>
        <v>0</v>
      </c>
      <c r="AK141" s="49">
        <f t="shared" si="37"/>
        <v>0</v>
      </c>
      <c r="AL141" t="s">
        <v>205</v>
      </c>
      <c r="AM141" s="81">
        <v>2354.0100000000002</v>
      </c>
      <c r="AN141" s="81">
        <v>187.54</v>
      </c>
      <c r="AO141" s="81">
        <v>0</v>
      </c>
      <c r="AP141" s="81">
        <v>0</v>
      </c>
    </row>
    <row r="142" spans="1:42" ht="15" customHeight="1">
      <c r="A142" s="38" t="s">
        <v>206</v>
      </c>
      <c r="B142" s="38" t="s">
        <v>96</v>
      </c>
      <c r="C142" s="38" t="s">
        <v>65</v>
      </c>
      <c r="D142" s="38" t="s">
        <v>66</v>
      </c>
      <c r="E142" s="39">
        <v>2375.38</v>
      </c>
      <c r="F142" s="39">
        <v>0</v>
      </c>
      <c r="G142" s="39">
        <v>0</v>
      </c>
      <c r="H142" s="40">
        <v>0</v>
      </c>
      <c r="I142" s="40">
        <v>0</v>
      </c>
      <c r="J142" s="40">
        <v>190.03</v>
      </c>
      <c r="K142" s="40">
        <v>0</v>
      </c>
      <c r="L142" s="40">
        <v>0</v>
      </c>
      <c r="M142" s="40">
        <v>0</v>
      </c>
      <c r="N142" s="40">
        <v>0</v>
      </c>
      <c r="O142" s="40">
        <v>2375.38</v>
      </c>
      <c r="P142" s="40">
        <v>0</v>
      </c>
      <c r="Q142" s="40">
        <v>0</v>
      </c>
      <c r="R142" s="40">
        <v>189.46</v>
      </c>
      <c r="S142" s="40">
        <v>0</v>
      </c>
      <c r="T142" s="40">
        <v>0</v>
      </c>
      <c r="U142" s="40">
        <v>0</v>
      </c>
      <c r="V142" s="40">
        <v>2375.38</v>
      </c>
      <c r="W142" s="40">
        <v>0</v>
      </c>
      <c r="X142" s="40">
        <v>0</v>
      </c>
      <c r="Y142" s="40">
        <v>0</v>
      </c>
      <c r="Z142" s="40">
        <v>0</v>
      </c>
      <c r="AA142" s="40">
        <v>88.31</v>
      </c>
      <c r="AB142" s="40">
        <v>475.08</v>
      </c>
      <c r="AC142" s="40">
        <v>137.77000000000001</v>
      </c>
      <c r="AD142" s="40">
        <v>890.62</v>
      </c>
      <c r="AE142" s="49">
        <f t="shared" si="34"/>
        <v>0</v>
      </c>
      <c r="AF142" s="49">
        <f t="shared" si="35"/>
        <v>0</v>
      </c>
      <c r="AG142" t="s">
        <v>206</v>
      </c>
      <c r="AH142" s="55">
        <v>2375.38</v>
      </c>
      <c r="AI142">
        <v>190.03</v>
      </c>
      <c r="AJ142" s="49">
        <f t="shared" si="36"/>
        <v>0</v>
      </c>
      <c r="AK142" s="49">
        <f t="shared" si="37"/>
        <v>0</v>
      </c>
      <c r="AL142" t="s">
        <v>206</v>
      </c>
      <c r="AM142" s="81">
        <v>2375.38</v>
      </c>
      <c r="AN142" s="81">
        <v>189.46</v>
      </c>
      <c r="AO142" s="81">
        <v>0</v>
      </c>
      <c r="AP142" s="81">
        <v>0</v>
      </c>
    </row>
    <row r="143" spans="1:42" ht="15" customHeight="1">
      <c r="A143" s="38" t="s">
        <v>207</v>
      </c>
      <c r="B143" s="38" t="s">
        <v>68</v>
      </c>
      <c r="C143" s="38" t="s">
        <v>65</v>
      </c>
      <c r="D143" s="38" t="s">
        <v>66</v>
      </c>
      <c r="E143" s="39">
        <v>3148.04</v>
      </c>
      <c r="F143" s="39">
        <v>0</v>
      </c>
      <c r="G143" s="39">
        <v>0</v>
      </c>
      <c r="H143" s="40">
        <v>0</v>
      </c>
      <c r="I143" s="40">
        <v>0</v>
      </c>
      <c r="J143" s="40">
        <v>251.84</v>
      </c>
      <c r="K143" s="40">
        <v>0</v>
      </c>
      <c r="L143" s="40">
        <v>0</v>
      </c>
      <c r="M143" s="40">
        <v>0</v>
      </c>
      <c r="N143" s="40">
        <v>0</v>
      </c>
      <c r="O143" s="40">
        <v>3148.04</v>
      </c>
      <c r="P143" s="40">
        <v>0</v>
      </c>
      <c r="Q143" s="40">
        <v>0</v>
      </c>
      <c r="R143" s="40">
        <v>266.35000000000002</v>
      </c>
      <c r="S143" s="40">
        <v>0</v>
      </c>
      <c r="T143" s="40">
        <v>0</v>
      </c>
      <c r="U143" s="40">
        <v>0</v>
      </c>
      <c r="V143" s="40">
        <v>3148.04</v>
      </c>
      <c r="W143" s="40">
        <v>0</v>
      </c>
      <c r="X143" s="40">
        <v>0</v>
      </c>
      <c r="Y143" s="40">
        <v>0</v>
      </c>
      <c r="Z143" s="40">
        <v>0</v>
      </c>
      <c r="AA143" s="40">
        <v>117.04</v>
      </c>
      <c r="AB143" s="40">
        <v>629.61</v>
      </c>
      <c r="AC143" s="40">
        <v>182.59</v>
      </c>
      <c r="AD143" s="40">
        <v>1195.5899999999999</v>
      </c>
      <c r="AE143" s="49">
        <f t="shared" si="34"/>
        <v>0</v>
      </c>
      <c r="AF143" s="49">
        <f t="shared" si="35"/>
        <v>0</v>
      </c>
      <c r="AG143" t="s">
        <v>207</v>
      </c>
      <c r="AH143" s="55">
        <v>3148.04</v>
      </c>
      <c r="AI143">
        <v>251.84</v>
      </c>
      <c r="AJ143" s="49">
        <f t="shared" si="36"/>
        <v>0</v>
      </c>
      <c r="AK143" s="49">
        <f t="shared" si="37"/>
        <v>0</v>
      </c>
      <c r="AL143" t="s">
        <v>207</v>
      </c>
      <c r="AM143" s="81">
        <v>3148.04</v>
      </c>
      <c r="AN143" s="81">
        <v>266.35000000000002</v>
      </c>
      <c r="AO143" s="81">
        <v>0</v>
      </c>
      <c r="AP143" s="81">
        <v>0</v>
      </c>
    </row>
    <row r="144" spans="1:42" ht="15" customHeight="1">
      <c r="A144" s="38" t="s">
        <v>208</v>
      </c>
      <c r="B144" s="38" t="s">
        <v>108</v>
      </c>
      <c r="C144" s="38" t="s">
        <v>65</v>
      </c>
      <c r="D144" s="38" t="s">
        <v>109</v>
      </c>
      <c r="E144" s="39">
        <v>641.41999999999996</v>
      </c>
      <c r="F144" s="39">
        <v>0</v>
      </c>
      <c r="G144" s="39">
        <v>0</v>
      </c>
      <c r="H144" s="40">
        <v>0</v>
      </c>
      <c r="I144" s="40">
        <v>0</v>
      </c>
      <c r="J144" s="40">
        <v>12.83</v>
      </c>
      <c r="K144" s="40">
        <v>0</v>
      </c>
      <c r="L144" s="40">
        <v>0</v>
      </c>
      <c r="M144" s="40">
        <v>0</v>
      </c>
      <c r="N144" s="40">
        <v>0</v>
      </c>
      <c r="O144" s="40">
        <v>641.41999999999996</v>
      </c>
      <c r="P144" s="40">
        <v>0</v>
      </c>
      <c r="Q144" s="40">
        <v>0</v>
      </c>
      <c r="R144" s="40">
        <v>48.1</v>
      </c>
      <c r="S144" s="40">
        <v>0</v>
      </c>
      <c r="T144" s="40">
        <v>0</v>
      </c>
      <c r="U144" s="40">
        <v>0</v>
      </c>
      <c r="V144" s="40">
        <v>641.41999999999996</v>
      </c>
      <c r="W144" s="40">
        <v>0</v>
      </c>
      <c r="X144" s="40">
        <v>0</v>
      </c>
      <c r="Y144" s="40">
        <v>0</v>
      </c>
      <c r="Z144" s="40">
        <v>0</v>
      </c>
      <c r="AA144" s="40">
        <v>23.85</v>
      </c>
      <c r="AB144" s="40">
        <v>128.28</v>
      </c>
      <c r="AC144" s="40">
        <v>37.200000000000003</v>
      </c>
      <c r="AD144" s="40">
        <v>237.43</v>
      </c>
      <c r="AE144" s="49">
        <f t="shared" si="34"/>
        <v>0</v>
      </c>
      <c r="AF144" s="49">
        <f t="shared" si="35"/>
        <v>9.9999999999997868E-3</v>
      </c>
      <c r="AG144" t="s">
        <v>208</v>
      </c>
      <c r="AH144">
        <v>641.41999999999996</v>
      </c>
      <c r="AI144">
        <v>12.82</v>
      </c>
      <c r="AJ144" s="49">
        <f t="shared" si="36"/>
        <v>0</v>
      </c>
      <c r="AK144" s="49">
        <f t="shared" si="37"/>
        <v>0</v>
      </c>
      <c r="AL144" t="s">
        <v>208</v>
      </c>
      <c r="AM144" s="81">
        <v>641.41999999999996</v>
      </c>
      <c r="AN144" s="81">
        <v>48.1</v>
      </c>
      <c r="AO144" s="81">
        <v>0</v>
      </c>
      <c r="AP144" s="81">
        <v>0</v>
      </c>
    </row>
    <row r="145" spans="1:42" ht="15" customHeight="1">
      <c r="A145" s="38" t="s">
        <v>209</v>
      </c>
      <c r="B145" s="38" t="s">
        <v>108</v>
      </c>
      <c r="C145" s="38" t="s">
        <v>65</v>
      </c>
      <c r="D145" s="38" t="s">
        <v>109</v>
      </c>
      <c r="E145" s="39">
        <v>641.41999999999996</v>
      </c>
      <c r="F145" s="39">
        <v>0</v>
      </c>
      <c r="G145" s="39">
        <v>0</v>
      </c>
      <c r="H145" s="40">
        <v>0</v>
      </c>
      <c r="I145" s="40">
        <v>0</v>
      </c>
      <c r="J145" s="40">
        <v>12.83</v>
      </c>
      <c r="K145" s="40">
        <v>0</v>
      </c>
      <c r="L145" s="40">
        <v>0</v>
      </c>
      <c r="M145" s="40">
        <v>0</v>
      </c>
      <c r="N145" s="40">
        <v>0</v>
      </c>
      <c r="O145" s="40">
        <v>641.41999999999996</v>
      </c>
      <c r="P145" s="40">
        <v>0</v>
      </c>
      <c r="Q145" s="40">
        <v>0</v>
      </c>
      <c r="R145" s="40">
        <v>48.1</v>
      </c>
      <c r="S145" s="40">
        <v>0</v>
      </c>
      <c r="T145" s="40">
        <v>0</v>
      </c>
      <c r="U145" s="40">
        <v>0</v>
      </c>
      <c r="V145" s="40">
        <v>641.41999999999996</v>
      </c>
      <c r="W145" s="40">
        <v>0</v>
      </c>
      <c r="X145" s="40">
        <v>0</v>
      </c>
      <c r="Y145" s="40">
        <v>0</v>
      </c>
      <c r="Z145" s="40">
        <v>0</v>
      </c>
      <c r="AA145" s="40">
        <v>23.85</v>
      </c>
      <c r="AB145" s="40">
        <v>128.28</v>
      </c>
      <c r="AC145" s="40">
        <v>37.200000000000003</v>
      </c>
      <c r="AD145" s="40">
        <v>237.43</v>
      </c>
      <c r="AE145" s="49">
        <f t="shared" si="34"/>
        <v>0</v>
      </c>
      <c r="AF145" s="49">
        <f t="shared" si="35"/>
        <v>9.9999999999997868E-3</v>
      </c>
      <c r="AG145" t="s">
        <v>209</v>
      </c>
      <c r="AH145">
        <v>641.41999999999996</v>
      </c>
      <c r="AI145">
        <v>12.82</v>
      </c>
      <c r="AJ145" s="49">
        <f t="shared" si="36"/>
        <v>0</v>
      </c>
      <c r="AK145" s="49">
        <f t="shared" si="37"/>
        <v>0</v>
      </c>
      <c r="AL145" t="s">
        <v>209</v>
      </c>
      <c r="AM145" s="81">
        <v>641.41999999999996</v>
      </c>
      <c r="AN145" s="81">
        <v>48.1</v>
      </c>
      <c r="AO145" s="81">
        <v>0</v>
      </c>
      <c r="AP145" s="81">
        <v>0</v>
      </c>
    </row>
    <row r="146" spans="1:42" ht="15" customHeight="1">
      <c r="A146" s="38" t="s">
        <v>210</v>
      </c>
      <c r="B146" s="38" t="s">
        <v>68</v>
      </c>
      <c r="C146" s="38" t="s">
        <v>65</v>
      </c>
      <c r="D146" s="38" t="s">
        <v>66</v>
      </c>
      <c r="E146" s="39">
        <v>2355.0300000000002</v>
      </c>
      <c r="F146" s="39">
        <v>0</v>
      </c>
      <c r="G146" s="39">
        <v>0</v>
      </c>
      <c r="H146" s="40">
        <v>0</v>
      </c>
      <c r="I146" s="40">
        <v>0</v>
      </c>
      <c r="J146" s="40">
        <v>188.4</v>
      </c>
      <c r="K146" s="40">
        <v>0</v>
      </c>
      <c r="L146" s="40">
        <v>0</v>
      </c>
      <c r="M146" s="40">
        <v>0</v>
      </c>
      <c r="N146" s="40">
        <v>0</v>
      </c>
      <c r="O146" s="40">
        <v>2355.0300000000002</v>
      </c>
      <c r="P146" s="40">
        <v>0</v>
      </c>
      <c r="Q146" s="40">
        <v>0</v>
      </c>
      <c r="R146" s="40">
        <v>187.63</v>
      </c>
      <c r="S146" s="40">
        <v>0</v>
      </c>
      <c r="T146" s="40">
        <v>0</v>
      </c>
      <c r="U146" s="40">
        <v>0</v>
      </c>
      <c r="V146" s="40">
        <v>2355.0300000000002</v>
      </c>
      <c r="W146" s="40">
        <v>0</v>
      </c>
      <c r="X146" s="40">
        <v>0</v>
      </c>
      <c r="Y146" s="40">
        <v>0</v>
      </c>
      <c r="Z146" s="40">
        <v>0</v>
      </c>
      <c r="AA146" s="40">
        <v>87.56</v>
      </c>
      <c r="AB146" s="40">
        <v>471.01</v>
      </c>
      <c r="AC146" s="40">
        <v>136.59</v>
      </c>
      <c r="AD146" s="40">
        <v>882.79</v>
      </c>
      <c r="AE146" s="49">
        <f t="shared" si="34"/>
        <v>0</v>
      </c>
      <c r="AF146" s="49">
        <f t="shared" si="35"/>
        <v>0</v>
      </c>
      <c r="AG146" t="s">
        <v>210</v>
      </c>
      <c r="AH146" s="55">
        <v>2355.0300000000002</v>
      </c>
      <c r="AI146">
        <v>188.4</v>
      </c>
      <c r="AJ146" s="49">
        <f t="shared" si="36"/>
        <v>0</v>
      </c>
      <c r="AK146" s="49">
        <f t="shared" si="37"/>
        <v>0</v>
      </c>
      <c r="AL146" t="s">
        <v>210</v>
      </c>
      <c r="AM146" s="81">
        <v>2355.0300000000002</v>
      </c>
      <c r="AN146" s="81">
        <v>187.63</v>
      </c>
      <c r="AO146" s="81">
        <v>0</v>
      </c>
      <c r="AP146" s="81">
        <v>0</v>
      </c>
    </row>
    <row r="147" spans="1:42" ht="15" customHeight="1">
      <c r="A147" s="38" t="s">
        <v>211</v>
      </c>
      <c r="B147" s="38" t="s">
        <v>68</v>
      </c>
      <c r="C147" s="38" t="s">
        <v>65</v>
      </c>
      <c r="D147" s="38" t="s">
        <v>66</v>
      </c>
      <c r="E147" s="39">
        <v>2527.19</v>
      </c>
      <c r="F147" s="39">
        <v>0</v>
      </c>
      <c r="G147" s="39">
        <v>0</v>
      </c>
      <c r="H147" s="40">
        <v>0</v>
      </c>
      <c r="I147" s="40">
        <v>0</v>
      </c>
      <c r="J147" s="40">
        <v>202.18</v>
      </c>
      <c r="K147" s="40">
        <v>0</v>
      </c>
      <c r="L147" s="40">
        <v>0</v>
      </c>
      <c r="M147" s="40">
        <v>0</v>
      </c>
      <c r="N147" s="40">
        <v>0</v>
      </c>
      <c r="O147" s="40">
        <v>2527.19</v>
      </c>
      <c r="P147" s="40">
        <v>0</v>
      </c>
      <c r="Q147" s="40">
        <v>0</v>
      </c>
      <c r="R147" s="40">
        <v>203.12</v>
      </c>
      <c r="S147" s="40">
        <v>0</v>
      </c>
      <c r="T147" s="40">
        <v>0</v>
      </c>
      <c r="U147" s="40">
        <v>0</v>
      </c>
      <c r="V147" s="40">
        <v>2527.19</v>
      </c>
      <c r="W147" s="40">
        <v>0</v>
      </c>
      <c r="X147" s="40">
        <v>0</v>
      </c>
      <c r="Y147" s="40">
        <v>0</v>
      </c>
      <c r="Z147" s="40">
        <v>0</v>
      </c>
      <c r="AA147" s="40">
        <v>93.96</v>
      </c>
      <c r="AB147" s="40">
        <v>505.44</v>
      </c>
      <c r="AC147" s="40">
        <v>146.58000000000001</v>
      </c>
      <c r="AD147" s="40">
        <v>949.09</v>
      </c>
      <c r="AE147" s="49">
        <f t="shared" si="34"/>
        <v>0</v>
      </c>
      <c r="AF147" s="49">
        <f t="shared" si="35"/>
        <v>1.0000000000019327E-2</v>
      </c>
      <c r="AG147" t="s">
        <v>211</v>
      </c>
      <c r="AH147" s="55">
        <v>2527.19</v>
      </c>
      <c r="AI147">
        <v>202.17</v>
      </c>
      <c r="AJ147" s="49">
        <f t="shared" si="36"/>
        <v>0</v>
      </c>
      <c r="AK147" s="49">
        <f t="shared" si="37"/>
        <v>0</v>
      </c>
      <c r="AL147" t="s">
        <v>211</v>
      </c>
      <c r="AM147" s="81">
        <v>2527.19</v>
      </c>
      <c r="AN147" s="81">
        <v>203.12</v>
      </c>
      <c r="AO147" s="81">
        <v>0</v>
      </c>
      <c r="AP147" s="81">
        <v>0</v>
      </c>
    </row>
    <row r="148" spans="1:42" ht="15" customHeight="1">
      <c r="A148" s="38" t="s">
        <v>212</v>
      </c>
      <c r="B148" s="38" t="s">
        <v>68</v>
      </c>
      <c r="C148" s="38" t="s">
        <v>65</v>
      </c>
      <c r="D148" s="38" t="s">
        <v>66</v>
      </c>
      <c r="E148" s="39">
        <v>5903.65</v>
      </c>
      <c r="F148" s="39">
        <v>0</v>
      </c>
      <c r="G148" s="39">
        <v>0</v>
      </c>
      <c r="H148" s="40">
        <v>0</v>
      </c>
      <c r="I148" s="40">
        <v>0</v>
      </c>
      <c r="J148" s="40">
        <v>472.29</v>
      </c>
      <c r="K148" s="40">
        <v>0</v>
      </c>
      <c r="L148" s="40">
        <v>0</v>
      </c>
      <c r="M148" s="40">
        <v>0</v>
      </c>
      <c r="N148" s="40">
        <v>0</v>
      </c>
      <c r="O148" s="40">
        <v>5903.65</v>
      </c>
      <c r="P148" s="40">
        <v>0</v>
      </c>
      <c r="Q148" s="40">
        <v>0</v>
      </c>
      <c r="R148" s="40">
        <v>628.01</v>
      </c>
      <c r="S148" s="40">
        <v>0</v>
      </c>
      <c r="T148" s="40">
        <v>0</v>
      </c>
      <c r="U148" s="40">
        <v>0</v>
      </c>
      <c r="V148" s="40">
        <v>5903.65</v>
      </c>
      <c r="W148" s="40">
        <v>0</v>
      </c>
      <c r="X148" s="40">
        <v>349.49</v>
      </c>
      <c r="Y148" s="40">
        <v>0</v>
      </c>
      <c r="Z148" s="40">
        <v>0</v>
      </c>
      <c r="AA148" s="40">
        <v>219.49</v>
      </c>
      <c r="AB148" s="40">
        <v>1180.73</v>
      </c>
      <c r="AC148" s="40">
        <v>342.41</v>
      </c>
      <c r="AD148" s="40">
        <v>2370.64</v>
      </c>
      <c r="AE148" s="49">
        <f t="shared" si="34"/>
        <v>0</v>
      </c>
      <c r="AF148" s="49">
        <f t="shared" si="35"/>
        <v>0</v>
      </c>
      <c r="AG148" t="s">
        <v>212</v>
      </c>
      <c r="AH148" s="55">
        <v>5903.65</v>
      </c>
      <c r="AI148">
        <v>472.29</v>
      </c>
      <c r="AJ148" s="49">
        <f t="shared" si="36"/>
        <v>0</v>
      </c>
      <c r="AK148" s="49">
        <f t="shared" si="37"/>
        <v>0</v>
      </c>
      <c r="AL148" t="s">
        <v>212</v>
      </c>
      <c r="AM148" s="81">
        <v>5903.65</v>
      </c>
      <c r="AN148" s="81">
        <v>628.01</v>
      </c>
      <c r="AO148" s="81">
        <v>0</v>
      </c>
      <c r="AP148" s="81">
        <v>0</v>
      </c>
    </row>
    <row r="149" spans="1:42" ht="15" customHeight="1">
      <c r="A149" s="38" t="s">
        <v>213</v>
      </c>
      <c r="B149" s="38" t="s">
        <v>68</v>
      </c>
      <c r="C149" s="38" t="s">
        <v>65</v>
      </c>
      <c r="D149" s="38" t="s">
        <v>66</v>
      </c>
      <c r="E149" s="39">
        <v>6301.54</v>
      </c>
      <c r="F149" s="39">
        <v>0</v>
      </c>
      <c r="G149" s="39">
        <v>0</v>
      </c>
      <c r="H149" s="40">
        <v>0</v>
      </c>
      <c r="I149" s="40">
        <v>0</v>
      </c>
      <c r="J149" s="40">
        <v>504.12</v>
      </c>
      <c r="K149" s="40">
        <v>0</v>
      </c>
      <c r="L149" s="40">
        <v>0</v>
      </c>
      <c r="M149" s="40">
        <v>0</v>
      </c>
      <c r="N149" s="40">
        <v>0</v>
      </c>
      <c r="O149" s="40">
        <v>6301.54</v>
      </c>
      <c r="P149" s="40">
        <v>0</v>
      </c>
      <c r="Q149" s="40">
        <v>0</v>
      </c>
      <c r="R149" s="40">
        <v>683.71</v>
      </c>
      <c r="S149" s="40">
        <v>0</v>
      </c>
      <c r="T149" s="40">
        <v>0</v>
      </c>
      <c r="U149" s="40">
        <v>0</v>
      </c>
      <c r="V149" s="40">
        <v>6301.54</v>
      </c>
      <c r="W149" s="40">
        <v>0</v>
      </c>
      <c r="X149" s="40">
        <v>496.57</v>
      </c>
      <c r="Y149" s="40">
        <v>0</v>
      </c>
      <c r="Z149" s="40">
        <v>0</v>
      </c>
      <c r="AA149" s="40">
        <v>234.28</v>
      </c>
      <c r="AB149" s="40">
        <v>1260.31</v>
      </c>
      <c r="AC149" s="40">
        <v>365.49</v>
      </c>
      <c r="AD149" s="40">
        <v>2543.79</v>
      </c>
      <c r="AE149" s="49">
        <f t="shared" si="34"/>
        <v>0</v>
      </c>
      <c r="AF149" s="49">
        <f t="shared" si="35"/>
        <v>0</v>
      </c>
      <c r="AG149" t="s">
        <v>213</v>
      </c>
      <c r="AH149" s="55">
        <v>6301.54</v>
      </c>
      <c r="AI149">
        <v>504.12</v>
      </c>
      <c r="AJ149" s="49">
        <f t="shared" si="36"/>
        <v>0</v>
      </c>
      <c r="AK149" s="49">
        <f t="shared" si="37"/>
        <v>0</v>
      </c>
      <c r="AL149" t="s">
        <v>213</v>
      </c>
      <c r="AM149" s="81">
        <v>6301.54</v>
      </c>
      <c r="AN149" s="81">
        <v>683.71</v>
      </c>
      <c r="AO149" s="81">
        <v>0</v>
      </c>
      <c r="AP149" s="81">
        <v>0</v>
      </c>
    </row>
    <row r="150" spans="1:42" ht="15" customHeight="1">
      <c r="A150" s="38" t="s">
        <v>214</v>
      </c>
      <c r="B150" s="38" t="s">
        <v>68</v>
      </c>
      <c r="C150" s="38" t="s">
        <v>65</v>
      </c>
      <c r="D150" s="38" t="s">
        <v>66</v>
      </c>
      <c r="E150" s="39">
        <v>3004.92</v>
      </c>
      <c r="F150" s="39">
        <v>0</v>
      </c>
      <c r="G150" s="39">
        <v>0</v>
      </c>
      <c r="H150" s="40">
        <v>0</v>
      </c>
      <c r="I150" s="40">
        <v>0</v>
      </c>
      <c r="J150" s="40">
        <v>240.39</v>
      </c>
      <c r="K150" s="40">
        <v>0</v>
      </c>
      <c r="L150" s="40">
        <v>0</v>
      </c>
      <c r="M150" s="40">
        <v>0</v>
      </c>
      <c r="N150" s="40">
        <v>0</v>
      </c>
      <c r="O150" s="40">
        <v>3004.92</v>
      </c>
      <c r="P150" s="40">
        <v>0</v>
      </c>
      <c r="Q150" s="40">
        <v>0</v>
      </c>
      <c r="R150" s="40">
        <v>249.17</v>
      </c>
      <c r="S150" s="40">
        <v>0</v>
      </c>
      <c r="T150" s="40">
        <v>0</v>
      </c>
      <c r="U150" s="40">
        <v>0</v>
      </c>
      <c r="V150" s="40">
        <v>3004.92</v>
      </c>
      <c r="W150" s="40">
        <v>0</v>
      </c>
      <c r="X150" s="40">
        <v>0</v>
      </c>
      <c r="Y150" s="40">
        <v>0</v>
      </c>
      <c r="Z150" s="40">
        <v>0</v>
      </c>
      <c r="AA150" s="40">
        <v>111.72</v>
      </c>
      <c r="AB150" s="40">
        <v>600.98</v>
      </c>
      <c r="AC150" s="40">
        <v>174.29</v>
      </c>
      <c r="AD150" s="40">
        <v>1136.1600000000001</v>
      </c>
      <c r="AE150" s="49">
        <f t="shared" si="34"/>
        <v>0</v>
      </c>
      <c r="AF150" s="49">
        <f t="shared" si="35"/>
        <v>0</v>
      </c>
      <c r="AG150" t="s">
        <v>214</v>
      </c>
      <c r="AH150" s="55">
        <v>3004.92</v>
      </c>
      <c r="AI150">
        <v>240.39</v>
      </c>
      <c r="AJ150" s="49">
        <f t="shared" si="36"/>
        <v>0</v>
      </c>
      <c r="AK150" s="49">
        <f t="shared" si="37"/>
        <v>0</v>
      </c>
      <c r="AL150" t="s">
        <v>214</v>
      </c>
      <c r="AM150" s="81">
        <v>3004.92</v>
      </c>
      <c r="AN150" s="81">
        <v>249.17</v>
      </c>
      <c r="AO150" s="81">
        <v>0</v>
      </c>
      <c r="AP150" s="81">
        <v>0</v>
      </c>
    </row>
    <row r="151" spans="1:42" ht="15" customHeight="1">
      <c r="A151" s="38" t="s">
        <v>215</v>
      </c>
      <c r="B151" s="38" t="s">
        <v>68</v>
      </c>
      <c r="C151" s="38" t="s">
        <v>65</v>
      </c>
      <c r="D151" s="38" t="s">
        <v>66</v>
      </c>
      <c r="E151" s="39">
        <v>5997.63</v>
      </c>
      <c r="F151" s="39">
        <v>0</v>
      </c>
      <c r="G151" s="39">
        <v>0</v>
      </c>
      <c r="H151" s="40">
        <v>0</v>
      </c>
      <c r="I151" s="40">
        <v>0</v>
      </c>
      <c r="J151" s="40">
        <v>479.81</v>
      </c>
      <c r="K151" s="40">
        <v>0</v>
      </c>
      <c r="L151" s="40">
        <v>0</v>
      </c>
      <c r="M151" s="40">
        <v>0</v>
      </c>
      <c r="N151" s="40">
        <v>0</v>
      </c>
      <c r="O151" s="40">
        <v>5997.63</v>
      </c>
      <c r="P151" s="40">
        <v>0</v>
      </c>
      <c r="Q151" s="40">
        <v>0</v>
      </c>
      <c r="R151" s="40">
        <v>641.16999999999996</v>
      </c>
      <c r="S151" s="40">
        <v>0</v>
      </c>
      <c r="T151" s="40">
        <v>0</v>
      </c>
      <c r="U151" s="40">
        <v>0</v>
      </c>
      <c r="V151" s="40">
        <v>5997.63</v>
      </c>
      <c r="W151" s="40">
        <v>0</v>
      </c>
      <c r="X151" s="40">
        <v>384.23</v>
      </c>
      <c r="Y151" s="40">
        <v>0</v>
      </c>
      <c r="Z151" s="40">
        <v>0</v>
      </c>
      <c r="AA151" s="40">
        <v>222.99</v>
      </c>
      <c r="AB151" s="40">
        <v>1199.53</v>
      </c>
      <c r="AC151" s="40">
        <v>347.86</v>
      </c>
      <c r="AD151" s="40">
        <v>2411.54</v>
      </c>
      <c r="AE151" s="49">
        <f t="shared" si="34"/>
        <v>0</v>
      </c>
      <c r="AF151" s="49">
        <f t="shared" si="35"/>
        <v>0</v>
      </c>
      <c r="AG151" t="s">
        <v>215</v>
      </c>
      <c r="AH151" s="55">
        <v>5997.63</v>
      </c>
      <c r="AI151">
        <v>479.81</v>
      </c>
      <c r="AJ151" s="49">
        <f t="shared" si="36"/>
        <v>0</v>
      </c>
      <c r="AK151" s="49">
        <f t="shared" si="37"/>
        <v>0</v>
      </c>
      <c r="AL151" t="s">
        <v>215</v>
      </c>
      <c r="AM151" s="81">
        <v>5997.63</v>
      </c>
      <c r="AN151" s="81">
        <v>641.16999999999996</v>
      </c>
      <c r="AO151" s="81">
        <v>0</v>
      </c>
      <c r="AP151" s="81">
        <v>0</v>
      </c>
    </row>
    <row r="152" spans="1:42" ht="15" customHeight="1">
      <c r="A152" s="38" t="s">
        <v>216</v>
      </c>
      <c r="B152" s="38" t="s">
        <v>87</v>
      </c>
      <c r="C152" s="38" t="s">
        <v>65</v>
      </c>
      <c r="D152" s="38" t="s">
        <v>66</v>
      </c>
      <c r="E152" s="39">
        <v>3313.59</v>
      </c>
      <c r="F152" s="39">
        <v>0</v>
      </c>
      <c r="G152" s="39">
        <v>0</v>
      </c>
      <c r="H152" s="40">
        <v>0</v>
      </c>
      <c r="I152" s="40">
        <v>0</v>
      </c>
      <c r="J152" s="40">
        <v>265.08999999999997</v>
      </c>
      <c r="K152" s="40">
        <v>0</v>
      </c>
      <c r="L152" s="40">
        <v>0</v>
      </c>
      <c r="M152" s="40">
        <v>0</v>
      </c>
      <c r="N152" s="40">
        <v>0</v>
      </c>
      <c r="O152" s="40">
        <v>3313.59</v>
      </c>
      <c r="P152" s="40">
        <v>0</v>
      </c>
      <c r="Q152" s="40">
        <v>0</v>
      </c>
      <c r="R152" s="40">
        <v>286.22000000000003</v>
      </c>
      <c r="S152" s="40">
        <v>0</v>
      </c>
      <c r="T152" s="40">
        <v>0</v>
      </c>
      <c r="U152" s="40">
        <v>0</v>
      </c>
      <c r="V152" s="40">
        <v>3313.59</v>
      </c>
      <c r="W152" s="40">
        <v>0</v>
      </c>
      <c r="X152" s="40">
        <v>0</v>
      </c>
      <c r="Y152" s="40">
        <v>0</v>
      </c>
      <c r="Z152" s="40">
        <v>0</v>
      </c>
      <c r="AA152" s="40">
        <v>123.2</v>
      </c>
      <c r="AB152" s="40">
        <v>662.72</v>
      </c>
      <c r="AC152" s="40">
        <v>192.19</v>
      </c>
      <c r="AD152" s="40">
        <v>1264.32</v>
      </c>
      <c r="AE152" s="49">
        <f t="shared" si="34"/>
        <v>0</v>
      </c>
      <c r="AF152" s="49">
        <f t="shared" si="35"/>
        <v>9.9999999999909051E-3</v>
      </c>
      <c r="AG152" t="s">
        <v>216</v>
      </c>
      <c r="AH152" s="55">
        <v>3313.59</v>
      </c>
      <c r="AI152">
        <v>265.08</v>
      </c>
      <c r="AJ152" s="49">
        <f t="shared" si="36"/>
        <v>0</v>
      </c>
      <c r="AK152" s="49">
        <f t="shared" si="37"/>
        <v>0</v>
      </c>
      <c r="AL152" t="s">
        <v>216</v>
      </c>
      <c r="AM152" s="81">
        <v>3313.59</v>
      </c>
      <c r="AN152" s="81">
        <v>286.22000000000003</v>
      </c>
      <c r="AO152" s="81">
        <v>0</v>
      </c>
      <c r="AP152" s="81">
        <v>0</v>
      </c>
    </row>
    <row r="153" spans="1:42" ht="15" customHeight="1">
      <c r="A153" s="38" t="s">
        <v>217</v>
      </c>
      <c r="B153" s="38" t="s">
        <v>68</v>
      </c>
      <c r="C153" s="38" t="s">
        <v>65</v>
      </c>
      <c r="D153" s="38" t="s">
        <v>66</v>
      </c>
      <c r="E153" s="39">
        <v>3603.17</v>
      </c>
      <c r="F153" s="39">
        <v>0</v>
      </c>
      <c r="G153" s="39">
        <v>0</v>
      </c>
      <c r="H153" s="40">
        <v>0</v>
      </c>
      <c r="I153" s="40">
        <v>0</v>
      </c>
      <c r="J153" s="40">
        <v>288.25</v>
      </c>
      <c r="K153" s="40">
        <v>0</v>
      </c>
      <c r="L153" s="40">
        <v>0</v>
      </c>
      <c r="M153" s="40">
        <v>0</v>
      </c>
      <c r="N153" s="40">
        <v>0</v>
      </c>
      <c r="O153" s="40">
        <v>3603.17</v>
      </c>
      <c r="P153" s="40">
        <v>0</v>
      </c>
      <c r="Q153" s="40">
        <v>0</v>
      </c>
      <c r="R153" s="40">
        <v>320.95999999999998</v>
      </c>
      <c r="S153" s="40">
        <v>0</v>
      </c>
      <c r="T153" s="40">
        <v>0</v>
      </c>
      <c r="U153" s="40">
        <v>0</v>
      </c>
      <c r="V153" s="40">
        <v>3603.17</v>
      </c>
      <c r="W153" s="40">
        <v>0</v>
      </c>
      <c r="X153" s="40">
        <v>0</v>
      </c>
      <c r="Y153" s="40">
        <v>0</v>
      </c>
      <c r="Z153" s="40">
        <v>0</v>
      </c>
      <c r="AA153" s="40">
        <v>133.96</v>
      </c>
      <c r="AB153" s="40">
        <v>720.63</v>
      </c>
      <c r="AC153" s="40">
        <v>208.98</v>
      </c>
      <c r="AD153" s="40">
        <v>1384.54</v>
      </c>
      <c r="AE153" s="49">
        <f t="shared" si="34"/>
        <v>0</v>
      </c>
      <c r="AF153" s="49">
        <f t="shared" si="35"/>
        <v>0</v>
      </c>
      <c r="AG153" t="s">
        <v>217</v>
      </c>
      <c r="AH153" s="55">
        <v>3603.17</v>
      </c>
      <c r="AI153">
        <v>288.25</v>
      </c>
      <c r="AJ153" s="49">
        <f t="shared" si="36"/>
        <v>0</v>
      </c>
      <c r="AK153" s="49">
        <f t="shared" si="37"/>
        <v>0</v>
      </c>
      <c r="AL153" t="s">
        <v>217</v>
      </c>
      <c r="AM153" s="81">
        <v>3603.17</v>
      </c>
      <c r="AN153" s="81">
        <v>320.95999999999998</v>
      </c>
      <c r="AO153" s="81">
        <v>0</v>
      </c>
      <c r="AP153" s="81">
        <v>0</v>
      </c>
    </row>
    <row r="154" spans="1:42" ht="15" customHeight="1">
      <c r="A154" s="38" t="s">
        <v>218</v>
      </c>
      <c r="B154" s="38" t="s">
        <v>68</v>
      </c>
      <c r="C154" s="38" t="s">
        <v>82</v>
      </c>
      <c r="D154" s="38" t="s">
        <v>66</v>
      </c>
      <c r="E154" s="39">
        <v>2816.06</v>
      </c>
      <c r="F154" s="39">
        <v>3366.89</v>
      </c>
      <c r="G154" s="39">
        <v>288.94</v>
      </c>
      <c r="H154" s="40">
        <v>2600.44</v>
      </c>
      <c r="I154" s="40">
        <v>0</v>
      </c>
      <c r="J154" s="40">
        <v>225.28</v>
      </c>
      <c r="K154" s="40">
        <v>269.35000000000002</v>
      </c>
      <c r="L154" s="40">
        <v>23.12</v>
      </c>
      <c r="M154" s="40">
        <v>208.04</v>
      </c>
      <c r="N154" s="40">
        <v>0</v>
      </c>
      <c r="O154" s="40">
        <v>2816.06</v>
      </c>
      <c r="P154" s="40">
        <v>2889.38</v>
      </c>
      <c r="Q154" s="40">
        <v>0</v>
      </c>
      <c r="R154" s="40">
        <v>229.12</v>
      </c>
      <c r="S154" s="40">
        <v>235.72</v>
      </c>
      <c r="T154" s="40">
        <v>0</v>
      </c>
      <c r="U154" s="40">
        <v>0</v>
      </c>
      <c r="V154" s="40">
        <v>2816.06</v>
      </c>
      <c r="W154" s="40">
        <v>0</v>
      </c>
      <c r="X154" s="40">
        <v>0</v>
      </c>
      <c r="Y154" s="40">
        <v>0</v>
      </c>
      <c r="Z154" s="40">
        <v>0</v>
      </c>
      <c r="AA154" s="40">
        <v>212.12</v>
      </c>
      <c r="AB154" s="40">
        <v>1141.0899999999999</v>
      </c>
      <c r="AC154" s="40">
        <v>330.92</v>
      </c>
      <c r="AD154" s="40">
        <v>2148.9699999999998</v>
      </c>
      <c r="AE154" s="49">
        <f t="shared" ref="AE154:AE155" si="38">(E154+F154+G154+H154+I154)-AH154</f>
        <v>9072.33</v>
      </c>
      <c r="AF154" s="49">
        <f t="shared" ref="AF154:AF155" si="39">(J154+K154+L154+M154+N154)-AI154</f>
        <v>725.79</v>
      </c>
      <c r="AH154" s="55"/>
      <c r="AJ154" s="49">
        <f t="shared" si="36"/>
        <v>0</v>
      </c>
      <c r="AK154" s="49">
        <f t="shared" si="37"/>
        <v>0</v>
      </c>
      <c r="AL154" t="s">
        <v>218</v>
      </c>
      <c r="AM154" s="81">
        <v>2816.06</v>
      </c>
      <c r="AN154" s="81">
        <v>229.12</v>
      </c>
      <c r="AO154" s="81">
        <v>2889.38</v>
      </c>
      <c r="AP154" s="81">
        <v>235.72</v>
      </c>
    </row>
    <row r="155" spans="1:42" ht="15" customHeight="1">
      <c r="A155" s="38" t="s">
        <v>219</v>
      </c>
      <c r="B155" s="38" t="s">
        <v>68</v>
      </c>
      <c r="C155" s="38" t="s">
        <v>65</v>
      </c>
      <c r="D155" s="38" t="s">
        <v>66</v>
      </c>
      <c r="E155" s="39">
        <v>3553.78</v>
      </c>
      <c r="F155" s="39">
        <v>0</v>
      </c>
      <c r="G155" s="39">
        <v>0</v>
      </c>
      <c r="H155" s="40">
        <v>0</v>
      </c>
      <c r="I155" s="40">
        <v>0</v>
      </c>
      <c r="J155" s="40">
        <v>284.3</v>
      </c>
      <c r="K155" s="40">
        <v>0</v>
      </c>
      <c r="L155" s="40">
        <v>0</v>
      </c>
      <c r="M155" s="40">
        <v>0</v>
      </c>
      <c r="N155" s="40">
        <v>0</v>
      </c>
      <c r="O155" s="40">
        <v>3553.78</v>
      </c>
      <c r="P155" s="40">
        <v>0</v>
      </c>
      <c r="Q155" s="40">
        <v>0</v>
      </c>
      <c r="R155" s="40">
        <v>315.04000000000002</v>
      </c>
      <c r="S155" s="40">
        <v>0</v>
      </c>
      <c r="T155" s="40">
        <v>0</v>
      </c>
      <c r="U155" s="40">
        <v>0</v>
      </c>
      <c r="V155" s="40">
        <v>3553.78</v>
      </c>
      <c r="W155" s="40">
        <v>0</v>
      </c>
      <c r="X155" s="40">
        <v>0</v>
      </c>
      <c r="Y155" s="40">
        <v>0</v>
      </c>
      <c r="Z155" s="40">
        <v>0</v>
      </c>
      <c r="AA155" s="40">
        <v>132.13</v>
      </c>
      <c r="AB155" s="40">
        <v>710.76</v>
      </c>
      <c r="AC155" s="40">
        <v>206.12</v>
      </c>
      <c r="AD155" s="40">
        <v>1364.04</v>
      </c>
      <c r="AE155" s="49">
        <f t="shared" si="38"/>
        <v>0</v>
      </c>
      <c r="AF155" s="49">
        <f t="shared" si="39"/>
        <v>0</v>
      </c>
      <c r="AG155" t="s">
        <v>219</v>
      </c>
      <c r="AH155" s="55">
        <v>3553.78</v>
      </c>
      <c r="AI155">
        <v>284.3</v>
      </c>
      <c r="AJ155" s="49">
        <f t="shared" si="36"/>
        <v>0</v>
      </c>
      <c r="AK155" s="49">
        <f t="shared" si="37"/>
        <v>0</v>
      </c>
      <c r="AL155" t="s">
        <v>219</v>
      </c>
      <c r="AM155" s="81">
        <v>3553.78</v>
      </c>
      <c r="AN155" s="81">
        <v>315.04000000000002</v>
      </c>
      <c r="AO155" s="81">
        <v>0</v>
      </c>
      <c r="AP155" s="81">
        <v>0</v>
      </c>
    </row>
    <row r="156" spans="1:42" ht="15" customHeight="1">
      <c r="A156" s="38" t="s">
        <v>220</v>
      </c>
      <c r="B156" s="38" t="s">
        <v>92</v>
      </c>
      <c r="C156" s="38" t="s">
        <v>82</v>
      </c>
      <c r="D156" s="38" t="s">
        <v>66</v>
      </c>
      <c r="E156" s="39">
        <v>5222.07</v>
      </c>
      <c r="F156" s="39">
        <v>4301.28</v>
      </c>
      <c r="G156" s="39">
        <v>370.25</v>
      </c>
      <c r="H156" s="40">
        <v>3332.24</v>
      </c>
      <c r="I156" s="40">
        <v>0</v>
      </c>
      <c r="J156" s="40">
        <v>417.77</v>
      </c>
      <c r="K156" s="40">
        <v>344.1</v>
      </c>
      <c r="L156" s="40">
        <v>29.62</v>
      </c>
      <c r="M156" s="40">
        <v>266.58</v>
      </c>
      <c r="N156" s="40">
        <v>0</v>
      </c>
      <c r="O156" s="40">
        <v>5222.07</v>
      </c>
      <c r="P156" s="40">
        <v>3702.49</v>
      </c>
      <c r="Q156" s="40">
        <v>0</v>
      </c>
      <c r="R156" s="40">
        <v>532.59</v>
      </c>
      <c r="S156" s="40">
        <v>332.88</v>
      </c>
      <c r="T156" s="40">
        <v>0</v>
      </c>
      <c r="U156" s="40">
        <v>0</v>
      </c>
      <c r="V156" s="40">
        <v>5222.07</v>
      </c>
      <c r="W156" s="40">
        <v>0</v>
      </c>
      <c r="X156" s="40">
        <v>79.52</v>
      </c>
      <c r="Y156" s="40">
        <v>0</v>
      </c>
      <c r="Z156" s="40">
        <v>0</v>
      </c>
      <c r="AA156" s="40">
        <v>331.81</v>
      </c>
      <c r="AB156" s="40">
        <v>1784.91</v>
      </c>
      <c r="AC156" s="40">
        <v>517.62</v>
      </c>
      <c r="AD156" s="40">
        <v>3499.81</v>
      </c>
      <c r="AE156" s="49">
        <f t="shared" ref="AE156:AE157" si="40">(E156+F156+G156+H156+I156)-AH156</f>
        <v>13225.839999999998</v>
      </c>
      <c r="AF156" s="49">
        <f t="shared" ref="AF156:AF157" si="41">(J156+K156+L156+M156+N156)-AI156</f>
        <v>1058.07</v>
      </c>
      <c r="AH156" s="55"/>
      <c r="AJ156" s="49">
        <f t="shared" si="36"/>
        <v>0</v>
      </c>
      <c r="AK156" s="49">
        <f t="shared" si="37"/>
        <v>0</v>
      </c>
      <c r="AL156" t="s">
        <v>220</v>
      </c>
      <c r="AM156" s="81">
        <v>5222.07</v>
      </c>
      <c r="AN156" s="81">
        <v>532.59</v>
      </c>
      <c r="AO156" s="81">
        <v>3702.49</v>
      </c>
      <c r="AP156" s="81">
        <v>332.88</v>
      </c>
    </row>
    <row r="157" spans="1:42" ht="15" customHeight="1">
      <c r="A157" s="38" t="s">
        <v>221</v>
      </c>
      <c r="B157" s="38" t="s">
        <v>68</v>
      </c>
      <c r="C157" s="38" t="s">
        <v>65</v>
      </c>
      <c r="D157" s="38" t="s">
        <v>66</v>
      </c>
      <c r="E157" s="39">
        <v>3787.72</v>
      </c>
      <c r="F157" s="39">
        <v>0</v>
      </c>
      <c r="G157" s="39">
        <v>0</v>
      </c>
      <c r="H157" s="40">
        <v>0</v>
      </c>
      <c r="I157" s="40">
        <v>0</v>
      </c>
      <c r="J157" s="40">
        <v>303.02</v>
      </c>
      <c r="K157" s="40">
        <v>0</v>
      </c>
      <c r="L157" s="40">
        <v>0</v>
      </c>
      <c r="M157" s="40">
        <v>0</v>
      </c>
      <c r="N157" s="40">
        <v>0</v>
      </c>
      <c r="O157" s="40">
        <v>3787.72</v>
      </c>
      <c r="P157" s="40">
        <v>0</v>
      </c>
      <c r="Q157" s="40">
        <v>0</v>
      </c>
      <c r="R157" s="40">
        <v>343.11</v>
      </c>
      <c r="S157" s="40">
        <v>0</v>
      </c>
      <c r="T157" s="40">
        <v>0</v>
      </c>
      <c r="U157" s="40">
        <v>0</v>
      </c>
      <c r="V157" s="40">
        <v>3787.72</v>
      </c>
      <c r="W157" s="40">
        <v>0</v>
      </c>
      <c r="X157" s="40">
        <v>0</v>
      </c>
      <c r="Y157" s="40">
        <v>0</v>
      </c>
      <c r="Z157" s="40">
        <v>0</v>
      </c>
      <c r="AA157" s="40">
        <v>140.82</v>
      </c>
      <c r="AB157" s="40">
        <v>757.54</v>
      </c>
      <c r="AC157" s="40">
        <v>219.69</v>
      </c>
      <c r="AD157" s="40">
        <v>1461.17</v>
      </c>
      <c r="AE157" s="49">
        <f t="shared" si="40"/>
        <v>0</v>
      </c>
      <c r="AF157" s="49">
        <f t="shared" si="41"/>
        <v>9.9999999999909051E-3</v>
      </c>
      <c r="AG157" t="s">
        <v>221</v>
      </c>
      <c r="AH157" s="55">
        <v>3787.72</v>
      </c>
      <c r="AI157">
        <v>303.01</v>
      </c>
      <c r="AJ157" s="49">
        <f t="shared" si="36"/>
        <v>0</v>
      </c>
      <c r="AK157" s="49">
        <f t="shared" si="37"/>
        <v>0</v>
      </c>
      <c r="AL157" t="s">
        <v>221</v>
      </c>
      <c r="AM157" s="81">
        <v>3787.72</v>
      </c>
      <c r="AN157" s="81">
        <v>343.11</v>
      </c>
      <c r="AO157" s="81">
        <v>0</v>
      </c>
      <c r="AP157" s="81">
        <v>0</v>
      </c>
    </row>
    <row r="158" spans="1:42" ht="15" customHeight="1">
      <c r="A158" s="38" t="s">
        <v>222</v>
      </c>
      <c r="B158" s="38" t="s">
        <v>87</v>
      </c>
      <c r="C158" s="38" t="s">
        <v>82</v>
      </c>
      <c r="D158" s="38" t="s">
        <v>66</v>
      </c>
      <c r="E158" s="39">
        <v>2891.77</v>
      </c>
      <c r="F158" s="39">
        <v>4126.42</v>
      </c>
      <c r="G158" s="39">
        <v>304.14</v>
      </c>
      <c r="H158" s="40">
        <v>2737.2</v>
      </c>
      <c r="I158" s="40">
        <v>0</v>
      </c>
      <c r="J158" s="40">
        <v>231.34</v>
      </c>
      <c r="K158" s="40">
        <v>330.11</v>
      </c>
      <c r="L158" s="40">
        <v>24.33</v>
      </c>
      <c r="M158" s="40">
        <v>218.98</v>
      </c>
      <c r="N158" s="40">
        <v>0</v>
      </c>
      <c r="O158" s="40">
        <v>2891.77</v>
      </c>
      <c r="P158" s="40">
        <v>3041.34</v>
      </c>
      <c r="Q158" s="40">
        <v>0</v>
      </c>
      <c r="R158" s="40">
        <v>235.93</v>
      </c>
      <c r="S158" s="40">
        <v>253.55</v>
      </c>
      <c r="T158" s="40">
        <v>0</v>
      </c>
      <c r="U158" s="40">
        <v>0</v>
      </c>
      <c r="V158" s="40">
        <v>2891.77</v>
      </c>
      <c r="W158" s="40">
        <v>0</v>
      </c>
      <c r="X158" s="40">
        <v>0</v>
      </c>
      <c r="Y158" s="40">
        <v>0</v>
      </c>
      <c r="Z158" s="40">
        <v>0</v>
      </c>
      <c r="AA158" s="40">
        <v>220.59</v>
      </c>
      <c r="AB158" s="40">
        <v>1186.6199999999999</v>
      </c>
      <c r="AC158" s="40">
        <v>344.12</v>
      </c>
      <c r="AD158" s="40">
        <v>2240.81</v>
      </c>
      <c r="AE158" s="49">
        <f t="shared" ref="AE158" si="42">(E158+F158+G158+H158+I158)-AH158</f>
        <v>10059.530000000001</v>
      </c>
      <c r="AF158" s="49">
        <f t="shared" ref="AF158" si="43">(J158+K158+L158+M158+N158)-AI158</f>
        <v>804.7600000000001</v>
      </c>
      <c r="AH158" s="55"/>
      <c r="AJ158" s="49">
        <f t="shared" si="36"/>
        <v>0</v>
      </c>
      <c r="AK158" s="49">
        <f t="shared" si="37"/>
        <v>0</v>
      </c>
      <c r="AL158" t="s">
        <v>222</v>
      </c>
      <c r="AM158" s="81">
        <v>2891.77</v>
      </c>
      <c r="AN158" s="81">
        <v>235.93</v>
      </c>
      <c r="AO158" s="81">
        <v>3041.34</v>
      </c>
      <c r="AP158" s="81">
        <v>253.55</v>
      </c>
    </row>
    <row r="159" spans="1:42" ht="15" customHeight="1">
      <c r="A159" s="38" t="s">
        <v>223</v>
      </c>
      <c r="B159" s="38" t="s">
        <v>92</v>
      </c>
      <c r="C159" s="38" t="s">
        <v>65</v>
      </c>
      <c r="D159" s="38" t="s">
        <v>66</v>
      </c>
      <c r="E159" s="39">
        <v>1718.45</v>
      </c>
      <c r="F159" s="39">
        <v>0</v>
      </c>
      <c r="G159" s="39">
        <v>0</v>
      </c>
      <c r="H159" s="40">
        <v>0</v>
      </c>
      <c r="I159" s="40">
        <v>0</v>
      </c>
      <c r="J159" s="40">
        <v>137.47999999999999</v>
      </c>
      <c r="K159" s="40">
        <v>0</v>
      </c>
      <c r="L159" s="40">
        <v>0</v>
      </c>
      <c r="M159" s="40">
        <v>0</v>
      </c>
      <c r="N159" s="40">
        <v>0</v>
      </c>
      <c r="O159" s="40">
        <v>1718.45</v>
      </c>
      <c r="P159" s="40">
        <v>0</v>
      </c>
      <c r="Q159" s="40">
        <v>0</v>
      </c>
      <c r="R159" s="40">
        <v>146.86000000000001</v>
      </c>
      <c r="S159" s="40">
        <v>0</v>
      </c>
      <c r="T159" s="40">
        <v>0</v>
      </c>
      <c r="U159" s="40">
        <v>0</v>
      </c>
      <c r="V159" s="40">
        <v>1718.45</v>
      </c>
      <c r="W159" s="40">
        <v>0</v>
      </c>
      <c r="X159" s="40">
        <v>0</v>
      </c>
      <c r="Y159" s="40">
        <v>0</v>
      </c>
      <c r="Z159" s="40">
        <v>0</v>
      </c>
      <c r="AA159" s="40">
        <v>63.89</v>
      </c>
      <c r="AB159" s="40">
        <v>343.69</v>
      </c>
      <c r="AC159" s="40">
        <v>99.67</v>
      </c>
      <c r="AD159" s="40">
        <v>654.11</v>
      </c>
      <c r="AE159" s="49">
        <f t="shared" ref="AE159:AE166" si="44">(E159+F159+G159+H159+I159)-AH159</f>
        <v>0</v>
      </c>
      <c r="AF159" s="49">
        <f t="shared" ref="AF159:AF166" si="45">(J159+K159+L159+M159+N159)-AI159</f>
        <v>9.9999999999909051E-3</v>
      </c>
      <c r="AG159" t="s">
        <v>223</v>
      </c>
      <c r="AH159" s="55">
        <v>1718.45</v>
      </c>
      <c r="AI159">
        <v>137.47</v>
      </c>
      <c r="AJ159" s="49">
        <f t="shared" si="36"/>
        <v>0</v>
      </c>
      <c r="AK159" s="49">
        <f t="shared" si="37"/>
        <v>0</v>
      </c>
      <c r="AL159" t="s">
        <v>223</v>
      </c>
      <c r="AM159" s="81">
        <v>1718.45</v>
      </c>
      <c r="AN159" s="81">
        <v>146.86000000000001</v>
      </c>
      <c r="AO159" s="81">
        <v>0</v>
      </c>
      <c r="AP159" s="81">
        <v>0</v>
      </c>
    </row>
    <row r="160" spans="1:42" ht="15" customHeight="1">
      <c r="A160" s="38" t="s">
        <v>223</v>
      </c>
      <c r="B160" s="38" t="s">
        <v>92</v>
      </c>
      <c r="C160" s="38" t="s">
        <v>82</v>
      </c>
      <c r="D160" s="38" t="s">
        <v>66</v>
      </c>
      <c r="E160" s="39">
        <v>1101.27</v>
      </c>
      <c r="F160" s="39">
        <v>0</v>
      </c>
      <c r="G160" s="39">
        <v>0</v>
      </c>
      <c r="H160" s="40">
        <v>4744.6000000000004</v>
      </c>
      <c r="I160" s="40">
        <v>0</v>
      </c>
      <c r="J160" s="40">
        <v>88.1</v>
      </c>
      <c r="K160" s="40">
        <v>0</v>
      </c>
      <c r="L160" s="40">
        <v>0</v>
      </c>
      <c r="M160" s="40">
        <v>379.57</v>
      </c>
      <c r="N160" s="40">
        <v>0</v>
      </c>
      <c r="O160" s="40">
        <v>1101.27</v>
      </c>
      <c r="P160" s="40">
        <v>4744.6000000000004</v>
      </c>
      <c r="Q160" s="40">
        <v>0</v>
      </c>
      <c r="R160" s="40">
        <v>82.59</v>
      </c>
      <c r="S160" s="40">
        <v>465.74</v>
      </c>
      <c r="T160" s="40">
        <v>0</v>
      </c>
      <c r="U160" s="40">
        <v>0</v>
      </c>
      <c r="V160" s="40">
        <v>1101.27</v>
      </c>
      <c r="W160" s="40">
        <v>0</v>
      </c>
      <c r="X160" s="40">
        <v>0</v>
      </c>
      <c r="Y160" s="40">
        <v>0</v>
      </c>
      <c r="Z160" s="40">
        <v>0</v>
      </c>
      <c r="AA160" s="40">
        <v>217.34</v>
      </c>
      <c r="AB160" s="40">
        <v>1169.17</v>
      </c>
      <c r="AC160" s="40">
        <v>339.06</v>
      </c>
      <c r="AD160" s="40">
        <v>2273.91</v>
      </c>
      <c r="AE160" s="49">
        <f t="shared" si="44"/>
        <v>0</v>
      </c>
      <c r="AF160" s="49">
        <f t="shared" si="45"/>
        <v>9.9999999999340616E-3</v>
      </c>
      <c r="AG160" t="s">
        <v>223</v>
      </c>
      <c r="AH160" s="55">
        <v>5845.87</v>
      </c>
      <c r="AI160">
        <v>467.66</v>
      </c>
      <c r="AJ160" s="49">
        <f t="shared" si="36"/>
        <v>0</v>
      </c>
      <c r="AK160" s="49">
        <f t="shared" si="37"/>
        <v>0</v>
      </c>
      <c r="AL160" t="s">
        <v>223</v>
      </c>
      <c r="AM160" s="81">
        <v>1101.27</v>
      </c>
      <c r="AN160" s="81">
        <v>82.59</v>
      </c>
      <c r="AO160" s="81">
        <v>4744.6000000000004</v>
      </c>
      <c r="AP160" s="81">
        <v>465.74</v>
      </c>
    </row>
    <row r="161" spans="1:42" ht="15" customHeight="1">
      <c r="A161" s="38" t="s">
        <v>224</v>
      </c>
      <c r="B161" s="38" t="s">
        <v>87</v>
      </c>
      <c r="C161" s="38" t="s">
        <v>65</v>
      </c>
      <c r="D161" s="38" t="s">
        <v>66</v>
      </c>
      <c r="E161" s="39">
        <v>3744.69</v>
      </c>
      <c r="F161" s="39">
        <v>0</v>
      </c>
      <c r="G161" s="39">
        <v>0</v>
      </c>
      <c r="H161" s="40">
        <v>0</v>
      </c>
      <c r="I161" s="40">
        <v>0</v>
      </c>
      <c r="J161" s="40">
        <v>299.58</v>
      </c>
      <c r="K161" s="40">
        <v>0</v>
      </c>
      <c r="L161" s="40">
        <v>0</v>
      </c>
      <c r="M161" s="40">
        <v>0</v>
      </c>
      <c r="N161" s="40">
        <v>0</v>
      </c>
      <c r="O161" s="40">
        <v>3744.69</v>
      </c>
      <c r="P161" s="40">
        <v>0</v>
      </c>
      <c r="Q161" s="40">
        <v>0</v>
      </c>
      <c r="R161" s="40">
        <v>337.95</v>
      </c>
      <c r="S161" s="40">
        <v>0</v>
      </c>
      <c r="T161" s="40">
        <v>0</v>
      </c>
      <c r="U161" s="40">
        <v>0</v>
      </c>
      <c r="V161" s="40">
        <v>3744.69</v>
      </c>
      <c r="W161" s="40">
        <v>0</v>
      </c>
      <c r="X161" s="40">
        <v>0</v>
      </c>
      <c r="Y161" s="40">
        <v>0</v>
      </c>
      <c r="Z161" s="40">
        <v>0</v>
      </c>
      <c r="AA161" s="40">
        <v>139.22</v>
      </c>
      <c r="AB161" s="40">
        <v>748.94</v>
      </c>
      <c r="AC161" s="40">
        <v>217.19</v>
      </c>
      <c r="AD161" s="40">
        <v>1443.3</v>
      </c>
      <c r="AE161" s="49">
        <f t="shared" si="44"/>
        <v>0</v>
      </c>
      <c r="AF161" s="49">
        <f t="shared" si="45"/>
        <v>9.9999999999909051E-3</v>
      </c>
      <c r="AG161" t="s">
        <v>224</v>
      </c>
      <c r="AH161" s="55">
        <v>3744.69</v>
      </c>
      <c r="AI161">
        <v>299.57</v>
      </c>
      <c r="AJ161" s="49">
        <f t="shared" si="36"/>
        <v>0</v>
      </c>
      <c r="AK161" s="49">
        <f t="shared" si="37"/>
        <v>0</v>
      </c>
      <c r="AL161" t="s">
        <v>224</v>
      </c>
      <c r="AM161" s="81">
        <v>3744.69</v>
      </c>
      <c r="AN161" s="81">
        <v>337.95</v>
      </c>
      <c r="AO161" s="81">
        <v>0</v>
      </c>
      <c r="AP161" s="81">
        <v>0</v>
      </c>
    </row>
    <row r="162" spans="1:42" ht="15" customHeight="1">
      <c r="A162" s="38" t="s">
        <v>225</v>
      </c>
      <c r="B162" s="38" t="s">
        <v>68</v>
      </c>
      <c r="C162" s="38" t="s">
        <v>65</v>
      </c>
      <c r="D162" s="38" t="s">
        <v>66</v>
      </c>
      <c r="E162" s="39">
        <v>6403.5</v>
      </c>
      <c r="F162" s="39">
        <v>0</v>
      </c>
      <c r="G162" s="39">
        <v>0</v>
      </c>
      <c r="H162" s="40">
        <v>0</v>
      </c>
      <c r="I162" s="40">
        <v>0</v>
      </c>
      <c r="J162" s="40">
        <v>512.28</v>
      </c>
      <c r="K162" s="40">
        <v>0</v>
      </c>
      <c r="L162" s="40">
        <v>0</v>
      </c>
      <c r="M162" s="40">
        <v>0</v>
      </c>
      <c r="N162" s="40">
        <v>0</v>
      </c>
      <c r="O162" s="40">
        <v>6403.5</v>
      </c>
      <c r="P162" s="40">
        <v>0</v>
      </c>
      <c r="Q162" s="40">
        <v>0</v>
      </c>
      <c r="R162" s="40">
        <v>697.99</v>
      </c>
      <c r="S162" s="40">
        <v>0</v>
      </c>
      <c r="T162" s="40">
        <v>0</v>
      </c>
      <c r="U162" s="40">
        <v>0</v>
      </c>
      <c r="V162" s="40">
        <v>6403.5</v>
      </c>
      <c r="W162" s="40">
        <v>0</v>
      </c>
      <c r="X162" s="40">
        <v>534.25</v>
      </c>
      <c r="Y162" s="40">
        <v>0</v>
      </c>
      <c r="Z162" s="40">
        <v>0</v>
      </c>
      <c r="AA162" s="40">
        <v>238.08</v>
      </c>
      <c r="AB162" s="40">
        <v>1280.7</v>
      </c>
      <c r="AC162" s="40">
        <v>371.4</v>
      </c>
      <c r="AD162" s="40">
        <v>2588.17</v>
      </c>
      <c r="AE162" s="49">
        <f t="shared" si="44"/>
        <v>0</v>
      </c>
      <c r="AF162" s="49">
        <f t="shared" si="45"/>
        <v>0</v>
      </c>
      <c r="AG162" t="s">
        <v>225</v>
      </c>
      <c r="AH162" s="55">
        <v>6403.5</v>
      </c>
      <c r="AI162">
        <v>512.28</v>
      </c>
      <c r="AJ162" s="49">
        <f t="shared" si="36"/>
        <v>0</v>
      </c>
      <c r="AK162" s="49">
        <f t="shared" si="37"/>
        <v>0</v>
      </c>
      <c r="AL162" t="s">
        <v>225</v>
      </c>
      <c r="AM162" s="81">
        <v>6403.5</v>
      </c>
      <c r="AN162" s="81">
        <v>697.99</v>
      </c>
      <c r="AO162" s="81">
        <v>0</v>
      </c>
      <c r="AP162" s="81">
        <v>0</v>
      </c>
    </row>
    <row r="163" spans="1:42" ht="15" customHeight="1">
      <c r="A163" s="38" t="s">
        <v>226</v>
      </c>
      <c r="B163" s="38" t="s">
        <v>68</v>
      </c>
      <c r="C163" s="38" t="s">
        <v>65</v>
      </c>
      <c r="D163" s="38" t="s">
        <v>66</v>
      </c>
      <c r="E163" s="39">
        <v>6846.78</v>
      </c>
      <c r="F163" s="39">
        <v>0</v>
      </c>
      <c r="G163" s="39">
        <v>0</v>
      </c>
      <c r="H163" s="40">
        <v>0</v>
      </c>
      <c r="I163" s="40">
        <v>0</v>
      </c>
      <c r="J163" s="40">
        <v>547.74</v>
      </c>
      <c r="K163" s="40">
        <v>0</v>
      </c>
      <c r="L163" s="40">
        <v>0</v>
      </c>
      <c r="M163" s="40">
        <v>0</v>
      </c>
      <c r="N163" s="40">
        <v>0</v>
      </c>
      <c r="O163" s="40">
        <v>6846.78</v>
      </c>
      <c r="P163" s="40">
        <v>0</v>
      </c>
      <c r="Q163" s="40">
        <v>0</v>
      </c>
      <c r="R163" s="40">
        <v>760.05</v>
      </c>
      <c r="S163" s="40">
        <v>0</v>
      </c>
      <c r="T163" s="40">
        <v>0</v>
      </c>
      <c r="U163" s="40">
        <v>0</v>
      </c>
      <c r="V163" s="40">
        <v>6846.78</v>
      </c>
      <c r="W163" s="40">
        <v>0</v>
      </c>
      <c r="X163" s="40">
        <v>698.11</v>
      </c>
      <c r="Y163" s="40">
        <v>0</v>
      </c>
      <c r="Z163" s="40">
        <v>0</v>
      </c>
      <c r="AA163" s="40">
        <v>254.56</v>
      </c>
      <c r="AB163" s="40">
        <v>1369.36</v>
      </c>
      <c r="AC163" s="40">
        <v>397.11</v>
      </c>
      <c r="AD163" s="40">
        <v>2781.08</v>
      </c>
      <c r="AE163" s="49">
        <f t="shared" si="44"/>
        <v>0</v>
      </c>
      <c r="AF163" s="49">
        <f t="shared" si="45"/>
        <v>0</v>
      </c>
      <c r="AG163" t="s">
        <v>226</v>
      </c>
      <c r="AH163" s="55">
        <v>6846.78</v>
      </c>
      <c r="AI163">
        <v>547.74</v>
      </c>
      <c r="AJ163" s="49">
        <f t="shared" si="36"/>
        <v>0</v>
      </c>
      <c r="AK163" s="49">
        <f t="shared" si="37"/>
        <v>0</v>
      </c>
      <c r="AL163" t="s">
        <v>226</v>
      </c>
      <c r="AM163" s="81">
        <v>6846.78</v>
      </c>
      <c r="AN163" s="81">
        <v>760.05</v>
      </c>
      <c r="AO163" s="81">
        <v>0</v>
      </c>
      <c r="AP163" s="81">
        <v>0</v>
      </c>
    </row>
    <row r="164" spans="1:42" ht="15" customHeight="1">
      <c r="A164" s="38" t="s">
        <v>227</v>
      </c>
      <c r="B164" s="38" t="s">
        <v>92</v>
      </c>
      <c r="C164" s="38" t="s">
        <v>65</v>
      </c>
      <c r="D164" s="38" t="s">
        <v>66</v>
      </c>
      <c r="E164" s="39">
        <v>7700.44</v>
      </c>
      <c r="F164" s="39">
        <v>0</v>
      </c>
      <c r="G164" s="39">
        <v>0</v>
      </c>
      <c r="H164" s="40">
        <v>0</v>
      </c>
      <c r="I164" s="40">
        <v>0</v>
      </c>
      <c r="J164" s="40">
        <v>616.04</v>
      </c>
      <c r="K164" s="40">
        <v>0</v>
      </c>
      <c r="L164" s="40">
        <v>0</v>
      </c>
      <c r="M164" s="40">
        <v>0</v>
      </c>
      <c r="N164" s="40">
        <v>0</v>
      </c>
      <c r="O164" s="40">
        <v>7700.44</v>
      </c>
      <c r="P164" s="40">
        <v>0</v>
      </c>
      <c r="Q164" s="40">
        <v>0</v>
      </c>
      <c r="R164" s="40">
        <v>879.56</v>
      </c>
      <c r="S164" s="40">
        <v>0</v>
      </c>
      <c r="T164" s="40">
        <v>0</v>
      </c>
      <c r="U164" s="40">
        <v>0</v>
      </c>
      <c r="V164" s="40">
        <v>7700.44</v>
      </c>
      <c r="W164" s="40">
        <v>0</v>
      </c>
      <c r="X164" s="40">
        <v>914.87</v>
      </c>
      <c r="Y164" s="40">
        <v>0</v>
      </c>
      <c r="Z164" s="40">
        <v>0</v>
      </c>
      <c r="AA164" s="40">
        <v>286.29000000000002</v>
      </c>
      <c r="AB164" s="40">
        <v>1540.09</v>
      </c>
      <c r="AC164" s="40">
        <v>446.63</v>
      </c>
      <c r="AD164" s="40">
        <v>3152.57</v>
      </c>
      <c r="AE164" s="49">
        <f t="shared" si="44"/>
        <v>0</v>
      </c>
      <c r="AF164" s="49">
        <f t="shared" si="45"/>
        <v>9.9999999999909051E-3</v>
      </c>
      <c r="AG164" t="s">
        <v>227</v>
      </c>
      <c r="AH164" s="55">
        <v>7700.44</v>
      </c>
      <c r="AI164">
        <v>616.03</v>
      </c>
      <c r="AJ164" s="49">
        <f t="shared" si="36"/>
        <v>0</v>
      </c>
      <c r="AK164" s="49">
        <f t="shared" si="37"/>
        <v>0</v>
      </c>
      <c r="AL164" t="s">
        <v>227</v>
      </c>
      <c r="AM164" s="81">
        <v>7700.44</v>
      </c>
      <c r="AN164" s="81">
        <v>879.56</v>
      </c>
      <c r="AO164" s="81">
        <v>0</v>
      </c>
      <c r="AP164" s="81">
        <v>0</v>
      </c>
    </row>
    <row r="165" spans="1:42" ht="15" customHeight="1">
      <c r="A165" s="38" t="s">
        <v>228</v>
      </c>
      <c r="B165" s="38" t="s">
        <v>64</v>
      </c>
      <c r="C165" s="38" t="s">
        <v>65</v>
      </c>
      <c r="D165" s="38" t="s">
        <v>66</v>
      </c>
      <c r="E165" s="39">
        <v>3425.07</v>
      </c>
      <c r="F165" s="39">
        <v>0</v>
      </c>
      <c r="G165" s="39">
        <v>0</v>
      </c>
      <c r="H165" s="40">
        <v>0</v>
      </c>
      <c r="I165" s="40">
        <v>0</v>
      </c>
      <c r="J165" s="40">
        <v>274.01</v>
      </c>
      <c r="K165" s="40">
        <v>0</v>
      </c>
      <c r="L165" s="40">
        <v>0</v>
      </c>
      <c r="M165" s="40">
        <v>0</v>
      </c>
      <c r="N165" s="40">
        <v>0</v>
      </c>
      <c r="O165" s="40">
        <v>3425.07</v>
      </c>
      <c r="P165" s="40">
        <v>0</v>
      </c>
      <c r="Q165" s="40">
        <v>0</v>
      </c>
      <c r="R165" s="40">
        <v>299.58999999999997</v>
      </c>
      <c r="S165" s="40">
        <v>0</v>
      </c>
      <c r="T165" s="40">
        <v>0</v>
      </c>
      <c r="U165" s="40">
        <v>0</v>
      </c>
      <c r="V165" s="40">
        <v>3425.07</v>
      </c>
      <c r="W165" s="40">
        <v>0</v>
      </c>
      <c r="X165" s="40">
        <v>0</v>
      </c>
      <c r="Y165" s="40">
        <v>0</v>
      </c>
      <c r="Z165" s="40">
        <v>0</v>
      </c>
      <c r="AA165" s="40">
        <v>127.34</v>
      </c>
      <c r="AB165" s="40">
        <v>685.01</v>
      </c>
      <c r="AC165" s="40">
        <v>198.65</v>
      </c>
      <c r="AD165" s="40">
        <v>1310.5999999999999</v>
      </c>
      <c r="AE165" s="49">
        <f t="shared" si="44"/>
        <v>0</v>
      </c>
      <c r="AF165" s="49">
        <f t="shared" si="45"/>
        <v>9.9999999999909051E-3</v>
      </c>
      <c r="AG165" t="s">
        <v>228</v>
      </c>
      <c r="AH165" s="55">
        <v>3425.07</v>
      </c>
      <c r="AI165">
        <v>274</v>
      </c>
      <c r="AJ165" s="49">
        <f t="shared" si="36"/>
        <v>0</v>
      </c>
      <c r="AK165" s="49">
        <f t="shared" si="37"/>
        <v>0</v>
      </c>
      <c r="AL165" t="s">
        <v>228</v>
      </c>
      <c r="AM165" s="81">
        <v>3425.07</v>
      </c>
      <c r="AN165" s="81">
        <v>299.58999999999997</v>
      </c>
      <c r="AO165" s="81">
        <v>0</v>
      </c>
      <c r="AP165" s="81">
        <v>0</v>
      </c>
    </row>
    <row r="166" spans="1:42" ht="15" customHeight="1">
      <c r="A166" s="38" t="s">
        <v>229</v>
      </c>
      <c r="B166" s="38" t="s">
        <v>68</v>
      </c>
      <c r="C166" s="38" t="s">
        <v>65</v>
      </c>
      <c r="D166" s="38" t="s">
        <v>66</v>
      </c>
      <c r="E166" s="39">
        <v>799.32</v>
      </c>
      <c r="F166" s="39">
        <v>0</v>
      </c>
      <c r="G166" s="39">
        <v>0</v>
      </c>
      <c r="H166" s="40">
        <v>0</v>
      </c>
      <c r="I166" s="40">
        <v>0</v>
      </c>
      <c r="J166" s="40">
        <v>63.95</v>
      </c>
      <c r="K166" s="40">
        <v>0</v>
      </c>
      <c r="L166" s="40">
        <v>0</v>
      </c>
      <c r="M166" s="40">
        <v>0</v>
      </c>
      <c r="N166" s="40">
        <v>0</v>
      </c>
      <c r="O166" s="40">
        <v>799.32</v>
      </c>
      <c r="P166" s="40">
        <v>0</v>
      </c>
      <c r="Q166" s="40">
        <v>0</v>
      </c>
      <c r="R166" s="40">
        <v>59.94</v>
      </c>
      <c r="S166" s="40">
        <v>0</v>
      </c>
      <c r="T166" s="40">
        <v>0</v>
      </c>
      <c r="U166" s="40">
        <v>0</v>
      </c>
      <c r="V166" s="40">
        <v>799.32</v>
      </c>
      <c r="W166" s="40">
        <v>0</v>
      </c>
      <c r="X166" s="40">
        <v>0</v>
      </c>
      <c r="Y166" s="40">
        <v>0</v>
      </c>
      <c r="Z166" s="40">
        <v>0</v>
      </c>
      <c r="AA166" s="40">
        <v>29.72</v>
      </c>
      <c r="AB166" s="40">
        <v>159.86000000000001</v>
      </c>
      <c r="AC166" s="40">
        <v>46.36</v>
      </c>
      <c r="AD166" s="40">
        <v>295.88</v>
      </c>
      <c r="AE166" s="49">
        <f t="shared" si="44"/>
        <v>0</v>
      </c>
      <c r="AF166" s="49">
        <f t="shared" si="45"/>
        <v>1.0000000000005116E-2</v>
      </c>
      <c r="AG166" t="s">
        <v>229</v>
      </c>
      <c r="AH166">
        <v>799.32</v>
      </c>
      <c r="AI166">
        <v>63.94</v>
      </c>
      <c r="AJ166" s="49">
        <f t="shared" si="36"/>
        <v>0</v>
      </c>
      <c r="AK166" s="49">
        <f t="shared" si="37"/>
        <v>0</v>
      </c>
      <c r="AL166" t="s">
        <v>229</v>
      </c>
      <c r="AM166" s="81">
        <v>799.32</v>
      </c>
      <c r="AN166" s="81">
        <v>59.94</v>
      </c>
      <c r="AO166" s="81">
        <v>0</v>
      </c>
      <c r="AP166" s="81">
        <v>0</v>
      </c>
    </row>
    <row r="167" spans="1:42" ht="15" customHeight="1">
      <c r="A167" s="38" t="s">
        <v>230</v>
      </c>
      <c r="B167" s="38" t="s">
        <v>96</v>
      </c>
      <c r="C167" s="38" t="s">
        <v>99</v>
      </c>
      <c r="D167" s="38" t="s">
        <v>66</v>
      </c>
      <c r="E167" s="39">
        <v>0</v>
      </c>
      <c r="F167" s="39">
        <v>0</v>
      </c>
      <c r="G167" s="39">
        <v>0</v>
      </c>
      <c r="H167" s="40">
        <v>0</v>
      </c>
      <c r="I167" s="40">
        <v>0</v>
      </c>
      <c r="J167" s="40">
        <v>0</v>
      </c>
      <c r="K167" s="40">
        <v>0</v>
      </c>
      <c r="L167" s="40">
        <v>0</v>
      </c>
      <c r="M167" s="40">
        <v>0</v>
      </c>
      <c r="N167" s="40">
        <v>0</v>
      </c>
      <c r="O167" s="40">
        <v>0</v>
      </c>
      <c r="P167" s="40">
        <v>0</v>
      </c>
      <c r="Q167" s="40">
        <v>0</v>
      </c>
      <c r="R167" s="40">
        <v>0</v>
      </c>
      <c r="S167" s="40">
        <v>0</v>
      </c>
      <c r="T167" s="40">
        <v>0</v>
      </c>
      <c r="U167" s="40">
        <v>0</v>
      </c>
      <c r="V167" s="40">
        <v>0</v>
      </c>
      <c r="W167" s="40">
        <v>0</v>
      </c>
      <c r="X167" s="40">
        <v>0</v>
      </c>
      <c r="Y167" s="40">
        <v>0</v>
      </c>
      <c r="Z167" s="40">
        <v>0</v>
      </c>
      <c r="AA167" s="40">
        <v>0</v>
      </c>
      <c r="AB167" s="40">
        <v>0</v>
      </c>
      <c r="AC167" s="40">
        <v>0</v>
      </c>
      <c r="AD167" s="40">
        <v>0</v>
      </c>
      <c r="AE167" s="49">
        <f t="shared" ref="AE167:AE210" si="46">(E167+F167+G167+H167+I167)-AH167</f>
        <v>0</v>
      </c>
      <c r="AF167" s="49">
        <f t="shared" ref="AF167:AF210" si="47">(J167+K167+L167+M167+N167)-AI167</f>
        <v>0</v>
      </c>
      <c r="AJ167" s="49">
        <f t="shared" ref="AJ167:AJ210" si="48">(O167+P167)-(AM167+AO167)</f>
        <v>0</v>
      </c>
      <c r="AK167" s="49">
        <f t="shared" ref="AK167:AK210" si="49">(R167+S167+T167+U167)-(AN167+AP167)</f>
        <v>0</v>
      </c>
      <c r="AM167" s="81"/>
      <c r="AN167" s="81"/>
      <c r="AO167" s="81"/>
      <c r="AP167" s="81"/>
    </row>
    <row r="168" spans="1:42" ht="15" customHeight="1">
      <c r="A168" s="38" t="s">
        <v>231</v>
      </c>
      <c r="B168" s="38" t="s">
        <v>64</v>
      </c>
      <c r="C168" s="38" t="s">
        <v>65</v>
      </c>
      <c r="D168" s="38" t="s">
        <v>66</v>
      </c>
      <c r="E168" s="39">
        <v>1070.01</v>
      </c>
      <c r="F168" s="39">
        <v>0</v>
      </c>
      <c r="G168" s="39">
        <v>0</v>
      </c>
      <c r="H168" s="40">
        <v>0</v>
      </c>
      <c r="I168" s="40">
        <v>0</v>
      </c>
      <c r="J168" s="40">
        <v>85.6</v>
      </c>
      <c r="K168" s="40">
        <v>0</v>
      </c>
      <c r="L168" s="40">
        <v>0</v>
      </c>
      <c r="M168" s="40">
        <v>0</v>
      </c>
      <c r="N168" s="40">
        <v>0</v>
      </c>
      <c r="O168" s="40">
        <v>1070.01</v>
      </c>
      <c r="P168" s="40">
        <v>0</v>
      </c>
      <c r="Q168" s="40">
        <v>0</v>
      </c>
      <c r="R168" s="40">
        <v>80.25</v>
      </c>
      <c r="S168" s="40">
        <v>0</v>
      </c>
      <c r="T168" s="40">
        <v>0</v>
      </c>
      <c r="U168" s="40">
        <v>0</v>
      </c>
      <c r="V168" s="40">
        <v>1070.01</v>
      </c>
      <c r="W168" s="40">
        <v>0</v>
      </c>
      <c r="X168" s="40">
        <v>0</v>
      </c>
      <c r="Y168" s="40">
        <v>0</v>
      </c>
      <c r="Z168" s="40">
        <v>0</v>
      </c>
      <c r="AA168" s="40">
        <v>39.78</v>
      </c>
      <c r="AB168" s="40">
        <v>214</v>
      </c>
      <c r="AC168" s="40">
        <v>62.06</v>
      </c>
      <c r="AD168" s="40">
        <v>396.09</v>
      </c>
      <c r="AE168" s="49">
        <f t="shared" si="46"/>
        <v>0</v>
      </c>
      <c r="AF168" s="49">
        <f t="shared" si="47"/>
        <v>0</v>
      </c>
      <c r="AG168" t="s">
        <v>231</v>
      </c>
      <c r="AH168" s="55">
        <v>1070.01</v>
      </c>
      <c r="AI168">
        <v>85.6</v>
      </c>
      <c r="AJ168" s="49">
        <f t="shared" si="48"/>
        <v>0</v>
      </c>
      <c r="AK168" s="49">
        <f t="shared" si="49"/>
        <v>0</v>
      </c>
      <c r="AL168" t="s">
        <v>231</v>
      </c>
      <c r="AM168" s="81">
        <v>1070.01</v>
      </c>
      <c r="AN168" s="81">
        <v>80.25</v>
      </c>
      <c r="AO168" s="81">
        <v>0</v>
      </c>
      <c r="AP168" s="81">
        <v>0</v>
      </c>
    </row>
    <row r="169" spans="1:42" ht="15" customHeight="1">
      <c r="A169" s="38" t="s">
        <v>232</v>
      </c>
      <c r="B169" s="38" t="s">
        <v>68</v>
      </c>
      <c r="C169" s="38" t="s">
        <v>65</v>
      </c>
      <c r="D169" s="38" t="s">
        <v>66</v>
      </c>
      <c r="E169" s="39">
        <v>3320.11</v>
      </c>
      <c r="F169" s="39">
        <v>0</v>
      </c>
      <c r="G169" s="39">
        <v>0</v>
      </c>
      <c r="H169" s="40">
        <v>0</v>
      </c>
      <c r="I169" s="40">
        <v>0</v>
      </c>
      <c r="J169" s="40">
        <v>265.61</v>
      </c>
      <c r="K169" s="40">
        <v>0</v>
      </c>
      <c r="L169" s="40">
        <v>0</v>
      </c>
      <c r="M169" s="40">
        <v>0</v>
      </c>
      <c r="N169" s="40">
        <v>0</v>
      </c>
      <c r="O169" s="40">
        <v>3320.11</v>
      </c>
      <c r="P169" s="40">
        <v>0</v>
      </c>
      <c r="Q169" s="40">
        <v>0</v>
      </c>
      <c r="R169" s="40">
        <v>287</v>
      </c>
      <c r="S169" s="40">
        <v>0</v>
      </c>
      <c r="T169" s="40">
        <v>0</v>
      </c>
      <c r="U169" s="40">
        <v>0</v>
      </c>
      <c r="V169" s="40">
        <v>3320.11</v>
      </c>
      <c r="W169" s="40">
        <v>0</v>
      </c>
      <c r="X169" s="40">
        <v>0</v>
      </c>
      <c r="Y169" s="40">
        <v>0</v>
      </c>
      <c r="Z169" s="40">
        <v>0</v>
      </c>
      <c r="AA169" s="40">
        <v>123.44</v>
      </c>
      <c r="AB169" s="40">
        <v>664.02</v>
      </c>
      <c r="AC169" s="40">
        <v>192.57</v>
      </c>
      <c r="AD169" s="40">
        <v>1267.03</v>
      </c>
      <c r="AE169" s="49">
        <f t="shared" si="46"/>
        <v>0</v>
      </c>
      <c r="AF169" s="49">
        <f t="shared" si="47"/>
        <v>9.9999999999909051E-3</v>
      </c>
      <c r="AG169" t="s">
        <v>232</v>
      </c>
      <c r="AH169" s="55">
        <v>3320.11</v>
      </c>
      <c r="AI169">
        <v>265.60000000000002</v>
      </c>
      <c r="AJ169" s="49">
        <f t="shared" si="48"/>
        <v>0</v>
      </c>
      <c r="AK169" s="49">
        <f t="shared" si="49"/>
        <v>0</v>
      </c>
      <c r="AL169" t="s">
        <v>232</v>
      </c>
      <c r="AM169" s="81">
        <v>3320.11</v>
      </c>
      <c r="AN169" s="81">
        <v>287</v>
      </c>
      <c r="AO169" s="81">
        <v>0</v>
      </c>
      <c r="AP169" s="81">
        <v>0</v>
      </c>
    </row>
    <row r="170" spans="1:42" ht="15" customHeight="1">
      <c r="A170" s="38" t="s">
        <v>233</v>
      </c>
      <c r="B170" s="38" t="s">
        <v>64</v>
      </c>
      <c r="C170" s="38" t="s">
        <v>65</v>
      </c>
      <c r="D170" s="38" t="s">
        <v>66</v>
      </c>
      <c r="E170" s="39">
        <v>3893.52</v>
      </c>
      <c r="F170" s="39">
        <v>0</v>
      </c>
      <c r="G170" s="39">
        <v>0</v>
      </c>
      <c r="H170" s="40">
        <v>0</v>
      </c>
      <c r="I170" s="40">
        <v>0</v>
      </c>
      <c r="J170" s="40">
        <v>311.48</v>
      </c>
      <c r="K170" s="40">
        <v>0</v>
      </c>
      <c r="L170" s="40">
        <v>0</v>
      </c>
      <c r="M170" s="40">
        <v>0</v>
      </c>
      <c r="N170" s="40">
        <v>0</v>
      </c>
      <c r="O170" s="40">
        <v>3893.52</v>
      </c>
      <c r="P170" s="40">
        <v>0</v>
      </c>
      <c r="Q170" s="40">
        <v>0</v>
      </c>
      <c r="R170" s="40">
        <v>355.81</v>
      </c>
      <c r="S170" s="40">
        <v>0</v>
      </c>
      <c r="T170" s="40">
        <v>0</v>
      </c>
      <c r="U170" s="40">
        <v>0</v>
      </c>
      <c r="V170" s="40">
        <v>3893.52</v>
      </c>
      <c r="W170" s="40">
        <v>0</v>
      </c>
      <c r="X170" s="40">
        <v>0</v>
      </c>
      <c r="Y170" s="40">
        <v>0</v>
      </c>
      <c r="Z170" s="40">
        <v>0</v>
      </c>
      <c r="AA170" s="40">
        <v>144.76</v>
      </c>
      <c r="AB170" s="40">
        <v>778.7</v>
      </c>
      <c r="AC170" s="40">
        <v>225.82</v>
      </c>
      <c r="AD170" s="40">
        <v>1505.1</v>
      </c>
      <c r="AE170" s="49">
        <f t="shared" si="46"/>
        <v>0</v>
      </c>
      <c r="AF170" s="49">
        <f t="shared" si="47"/>
        <v>0</v>
      </c>
      <c r="AG170" t="s">
        <v>233</v>
      </c>
      <c r="AH170" s="55">
        <v>3893.52</v>
      </c>
      <c r="AI170">
        <v>311.48</v>
      </c>
      <c r="AJ170" s="49">
        <f t="shared" si="48"/>
        <v>0</v>
      </c>
      <c r="AK170" s="49">
        <f t="shared" si="49"/>
        <v>0</v>
      </c>
      <c r="AL170" t="s">
        <v>233</v>
      </c>
      <c r="AM170" s="81">
        <v>3893.52</v>
      </c>
      <c r="AN170" s="81">
        <v>355.81</v>
      </c>
      <c r="AO170" s="81">
        <v>0</v>
      </c>
      <c r="AP170" s="81">
        <v>0</v>
      </c>
    </row>
    <row r="171" spans="1:42" ht="15" customHeight="1">
      <c r="A171" s="38" t="s">
        <v>234</v>
      </c>
      <c r="B171" s="38" t="s">
        <v>113</v>
      </c>
      <c r="C171" s="38" t="s">
        <v>65</v>
      </c>
      <c r="D171" s="38" t="s">
        <v>66</v>
      </c>
      <c r="E171" s="39">
        <v>10124.290000000001</v>
      </c>
      <c r="F171" s="39">
        <v>0</v>
      </c>
      <c r="G171" s="39">
        <v>0</v>
      </c>
      <c r="H171" s="40">
        <v>0</v>
      </c>
      <c r="I171" s="40">
        <v>0</v>
      </c>
      <c r="J171" s="40">
        <v>809.94</v>
      </c>
      <c r="K171" s="40">
        <v>0</v>
      </c>
      <c r="L171" s="40">
        <v>0</v>
      </c>
      <c r="M171" s="40">
        <v>0</v>
      </c>
      <c r="N171" s="40">
        <v>0</v>
      </c>
      <c r="O171" s="40">
        <v>10124.290000000001</v>
      </c>
      <c r="P171" s="40">
        <v>0</v>
      </c>
      <c r="Q171" s="40">
        <v>0</v>
      </c>
      <c r="R171" s="40">
        <v>988.07</v>
      </c>
      <c r="S171" s="40">
        <v>0</v>
      </c>
      <c r="T171" s="40">
        <v>0</v>
      </c>
      <c r="U171" s="40">
        <v>0</v>
      </c>
      <c r="V171" s="40">
        <v>10124.290000000001</v>
      </c>
      <c r="W171" s="40">
        <v>0</v>
      </c>
      <c r="X171" s="40">
        <v>1551.59</v>
      </c>
      <c r="Y171" s="40">
        <v>0</v>
      </c>
      <c r="Z171" s="40">
        <v>0</v>
      </c>
      <c r="AA171" s="40">
        <v>376.41</v>
      </c>
      <c r="AB171" s="40">
        <v>2024.86</v>
      </c>
      <c r="AC171" s="40">
        <v>587.21</v>
      </c>
      <c r="AD171" s="40">
        <v>3976.55</v>
      </c>
      <c r="AE171" s="49">
        <f t="shared" si="46"/>
        <v>0</v>
      </c>
      <c r="AF171" s="49">
        <f t="shared" si="47"/>
        <v>0</v>
      </c>
      <c r="AG171" t="s">
        <v>234</v>
      </c>
      <c r="AH171" s="55">
        <v>10124.290000000001</v>
      </c>
      <c r="AI171">
        <v>809.94</v>
      </c>
      <c r="AJ171" s="49">
        <f t="shared" si="48"/>
        <v>0</v>
      </c>
      <c r="AK171" s="49">
        <f t="shared" si="49"/>
        <v>0</v>
      </c>
      <c r="AL171" t="s">
        <v>234</v>
      </c>
      <c r="AM171" s="81">
        <v>10124.290000000001</v>
      </c>
      <c r="AN171" s="81">
        <v>988.07</v>
      </c>
      <c r="AO171" s="81">
        <v>0</v>
      </c>
      <c r="AP171" s="81">
        <v>0</v>
      </c>
    </row>
    <row r="172" spans="1:42" ht="15" customHeight="1">
      <c r="A172" s="38" t="s">
        <v>235</v>
      </c>
      <c r="B172" s="38" t="s">
        <v>68</v>
      </c>
      <c r="C172" s="38" t="s">
        <v>65</v>
      </c>
      <c r="D172" s="38" t="s">
        <v>66</v>
      </c>
      <c r="E172" s="39">
        <v>2855.61</v>
      </c>
      <c r="F172" s="39">
        <v>0</v>
      </c>
      <c r="G172" s="39">
        <v>0</v>
      </c>
      <c r="H172" s="40">
        <v>0</v>
      </c>
      <c r="I172" s="40">
        <v>0</v>
      </c>
      <c r="J172" s="40">
        <v>228.45</v>
      </c>
      <c r="K172" s="40">
        <v>0</v>
      </c>
      <c r="L172" s="40">
        <v>0</v>
      </c>
      <c r="M172" s="40">
        <v>0</v>
      </c>
      <c r="N172" s="40">
        <v>0</v>
      </c>
      <c r="O172" s="40">
        <v>2855.61</v>
      </c>
      <c r="P172" s="40">
        <v>0</v>
      </c>
      <c r="Q172" s="40">
        <v>0</v>
      </c>
      <c r="R172" s="40">
        <v>232.68</v>
      </c>
      <c r="S172" s="40">
        <v>0</v>
      </c>
      <c r="T172" s="40">
        <v>0</v>
      </c>
      <c r="U172" s="40">
        <v>0</v>
      </c>
      <c r="V172" s="40">
        <v>2855.61</v>
      </c>
      <c r="W172" s="40">
        <v>0</v>
      </c>
      <c r="X172" s="40">
        <v>0</v>
      </c>
      <c r="Y172" s="40">
        <v>0</v>
      </c>
      <c r="Z172" s="40">
        <v>0</v>
      </c>
      <c r="AA172" s="40">
        <v>106.17</v>
      </c>
      <c r="AB172" s="40">
        <v>571.12</v>
      </c>
      <c r="AC172" s="40">
        <v>165.63</v>
      </c>
      <c r="AD172" s="40">
        <v>1075.5999999999999</v>
      </c>
      <c r="AE172" s="49">
        <f t="shared" si="46"/>
        <v>0</v>
      </c>
      <c r="AF172" s="49">
        <f t="shared" si="47"/>
        <v>9.9999999999909051E-3</v>
      </c>
      <c r="AG172" t="s">
        <v>235</v>
      </c>
      <c r="AH172" s="55">
        <v>2855.61</v>
      </c>
      <c r="AI172">
        <v>228.44</v>
      </c>
      <c r="AJ172" s="49">
        <f t="shared" si="48"/>
        <v>0</v>
      </c>
      <c r="AK172" s="49">
        <f t="shared" si="49"/>
        <v>0</v>
      </c>
      <c r="AL172" t="s">
        <v>235</v>
      </c>
      <c r="AM172" s="81">
        <v>2855.61</v>
      </c>
      <c r="AN172" s="81">
        <v>232.68</v>
      </c>
      <c r="AO172" s="81">
        <v>0</v>
      </c>
      <c r="AP172" s="81">
        <v>0</v>
      </c>
    </row>
    <row r="173" spans="1:42" ht="15" customHeight="1">
      <c r="A173" s="38" t="s">
        <v>236</v>
      </c>
      <c r="B173" s="38" t="s">
        <v>68</v>
      </c>
      <c r="C173" s="38" t="s">
        <v>65</v>
      </c>
      <c r="D173" s="38" t="s">
        <v>66</v>
      </c>
      <c r="E173" s="39">
        <v>6204.48</v>
      </c>
      <c r="F173" s="39">
        <v>0</v>
      </c>
      <c r="G173" s="39">
        <v>0</v>
      </c>
      <c r="H173" s="40">
        <v>0</v>
      </c>
      <c r="I173" s="40">
        <v>0</v>
      </c>
      <c r="J173" s="40">
        <v>496.36</v>
      </c>
      <c r="K173" s="40">
        <v>0</v>
      </c>
      <c r="L173" s="40">
        <v>0</v>
      </c>
      <c r="M173" s="40">
        <v>0</v>
      </c>
      <c r="N173" s="40">
        <v>0</v>
      </c>
      <c r="O173" s="40">
        <v>6204.48</v>
      </c>
      <c r="P173" s="40">
        <v>0</v>
      </c>
      <c r="Q173" s="40">
        <v>0</v>
      </c>
      <c r="R173" s="40">
        <v>670.12</v>
      </c>
      <c r="S173" s="40">
        <v>0</v>
      </c>
      <c r="T173" s="40">
        <v>0</v>
      </c>
      <c r="U173" s="40">
        <v>0</v>
      </c>
      <c r="V173" s="40">
        <v>6204.48</v>
      </c>
      <c r="W173" s="40">
        <v>0</v>
      </c>
      <c r="X173" s="40">
        <v>460.69</v>
      </c>
      <c r="Y173" s="40">
        <v>0</v>
      </c>
      <c r="Z173" s="40">
        <v>0</v>
      </c>
      <c r="AA173" s="40">
        <v>230.68</v>
      </c>
      <c r="AB173" s="40">
        <v>1240.9000000000001</v>
      </c>
      <c r="AC173" s="40">
        <v>359.86</v>
      </c>
      <c r="AD173" s="40">
        <v>2501.5500000000002</v>
      </c>
      <c r="AE173" s="49">
        <f t="shared" si="46"/>
        <v>0</v>
      </c>
      <c r="AF173" s="49">
        <f t="shared" si="47"/>
        <v>9.9999999999909051E-3</v>
      </c>
      <c r="AG173" t="s">
        <v>236</v>
      </c>
      <c r="AH173" s="55">
        <v>6204.48</v>
      </c>
      <c r="AI173">
        <v>496.35</v>
      </c>
      <c r="AJ173" s="49">
        <f t="shared" si="48"/>
        <v>0</v>
      </c>
      <c r="AK173" s="49">
        <f t="shared" si="49"/>
        <v>0</v>
      </c>
      <c r="AL173" t="s">
        <v>236</v>
      </c>
      <c r="AM173" s="81">
        <v>6204.48</v>
      </c>
      <c r="AN173" s="81">
        <v>670.12</v>
      </c>
      <c r="AO173" s="81">
        <v>0</v>
      </c>
      <c r="AP173" s="81">
        <v>0</v>
      </c>
    </row>
    <row r="174" spans="1:42" ht="15" customHeight="1">
      <c r="A174" s="38" t="s">
        <v>237</v>
      </c>
      <c r="B174" s="38" t="s">
        <v>108</v>
      </c>
      <c r="C174" s="38" t="s">
        <v>65</v>
      </c>
      <c r="D174" s="38" t="s">
        <v>66</v>
      </c>
      <c r="E174" s="39">
        <v>2354.0100000000002</v>
      </c>
      <c r="F174" s="39">
        <v>0</v>
      </c>
      <c r="G174" s="39">
        <v>0</v>
      </c>
      <c r="H174" s="40">
        <v>0</v>
      </c>
      <c r="I174" s="40">
        <v>0</v>
      </c>
      <c r="J174" s="40">
        <v>188.32</v>
      </c>
      <c r="K174" s="40">
        <v>0</v>
      </c>
      <c r="L174" s="40">
        <v>0</v>
      </c>
      <c r="M174" s="40">
        <v>0</v>
      </c>
      <c r="N174" s="40">
        <v>0</v>
      </c>
      <c r="O174" s="40">
        <v>2354.0100000000002</v>
      </c>
      <c r="P174" s="40">
        <v>0</v>
      </c>
      <c r="Q174" s="40">
        <v>0</v>
      </c>
      <c r="R174" s="40">
        <v>187.54</v>
      </c>
      <c r="S174" s="40">
        <v>0</v>
      </c>
      <c r="T174" s="40">
        <v>0</v>
      </c>
      <c r="U174" s="40">
        <v>0</v>
      </c>
      <c r="V174" s="40">
        <v>2354.0100000000002</v>
      </c>
      <c r="W174" s="40">
        <v>0</v>
      </c>
      <c r="X174" s="40">
        <v>0</v>
      </c>
      <c r="Y174" s="40">
        <v>0</v>
      </c>
      <c r="Z174" s="40">
        <v>0</v>
      </c>
      <c r="AA174" s="40">
        <v>87.52</v>
      </c>
      <c r="AB174" s="40">
        <v>470.8</v>
      </c>
      <c r="AC174" s="40">
        <v>136.53</v>
      </c>
      <c r="AD174" s="40">
        <v>882.39</v>
      </c>
      <c r="AE174" s="49">
        <f t="shared" si="46"/>
        <v>0</v>
      </c>
      <c r="AF174" s="49">
        <f t="shared" si="47"/>
        <v>0</v>
      </c>
      <c r="AG174" t="s">
        <v>237</v>
      </c>
      <c r="AH174" s="55">
        <v>2354.0100000000002</v>
      </c>
      <c r="AI174">
        <v>188.32</v>
      </c>
      <c r="AJ174" s="49">
        <f t="shared" si="48"/>
        <v>0</v>
      </c>
      <c r="AK174" s="49">
        <f t="shared" si="49"/>
        <v>0</v>
      </c>
      <c r="AL174" t="s">
        <v>237</v>
      </c>
      <c r="AM174" s="81">
        <v>2354.0100000000002</v>
      </c>
      <c r="AN174" s="81">
        <v>187.54</v>
      </c>
      <c r="AO174" s="81">
        <v>0</v>
      </c>
      <c r="AP174" s="81">
        <v>0</v>
      </c>
    </row>
    <row r="175" spans="1:42" ht="15" customHeight="1">
      <c r="A175" s="38" t="s">
        <v>238</v>
      </c>
      <c r="B175" s="38" t="s">
        <v>92</v>
      </c>
      <c r="C175" s="38" t="s">
        <v>65</v>
      </c>
      <c r="D175" s="38" t="s">
        <v>66</v>
      </c>
      <c r="E175" s="39">
        <v>5288.86</v>
      </c>
      <c r="F175" s="39">
        <v>0</v>
      </c>
      <c r="G175" s="39">
        <v>0</v>
      </c>
      <c r="H175" s="40">
        <v>0</v>
      </c>
      <c r="I175" s="40">
        <v>0</v>
      </c>
      <c r="J175" s="40">
        <v>423.11</v>
      </c>
      <c r="K175" s="40">
        <v>0</v>
      </c>
      <c r="L175" s="40">
        <v>0</v>
      </c>
      <c r="M175" s="40">
        <v>0</v>
      </c>
      <c r="N175" s="40">
        <v>0</v>
      </c>
      <c r="O175" s="40">
        <v>5288.86</v>
      </c>
      <c r="P175" s="40">
        <v>0</v>
      </c>
      <c r="Q175" s="40">
        <v>0</v>
      </c>
      <c r="R175" s="40">
        <v>541.94000000000005</v>
      </c>
      <c r="S175" s="40">
        <v>0</v>
      </c>
      <c r="T175" s="40">
        <v>0</v>
      </c>
      <c r="U175" s="40">
        <v>0</v>
      </c>
      <c r="V175" s="40">
        <v>5288.86</v>
      </c>
      <c r="W175" s="40">
        <v>0</v>
      </c>
      <c r="X175" s="40">
        <v>104.29</v>
      </c>
      <c r="Y175" s="40">
        <v>0</v>
      </c>
      <c r="Z175" s="40">
        <v>0</v>
      </c>
      <c r="AA175" s="40">
        <v>196.63</v>
      </c>
      <c r="AB175" s="40">
        <v>1057.77</v>
      </c>
      <c r="AC175" s="40">
        <v>306.75</v>
      </c>
      <c r="AD175" s="40">
        <v>2103.1</v>
      </c>
      <c r="AE175" s="49">
        <f t="shared" si="46"/>
        <v>0</v>
      </c>
      <c r="AF175" s="49">
        <f t="shared" si="47"/>
        <v>9.9999999999909051E-3</v>
      </c>
      <c r="AG175" t="s">
        <v>238</v>
      </c>
      <c r="AH175" s="55">
        <v>5288.86</v>
      </c>
      <c r="AI175">
        <v>423.1</v>
      </c>
      <c r="AJ175" s="49">
        <f t="shared" si="48"/>
        <v>0</v>
      </c>
      <c r="AK175" s="49">
        <f t="shared" si="49"/>
        <v>0</v>
      </c>
      <c r="AL175" t="s">
        <v>238</v>
      </c>
      <c r="AM175" s="81">
        <v>5288.86</v>
      </c>
      <c r="AN175" s="81">
        <v>541.94000000000005</v>
      </c>
      <c r="AO175" s="81">
        <v>0</v>
      </c>
      <c r="AP175" s="81">
        <v>0</v>
      </c>
    </row>
    <row r="176" spans="1:42" ht="15" customHeight="1">
      <c r="A176" s="38" t="s">
        <v>239</v>
      </c>
      <c r="B176" s="38" t="s">
        <v>96</v>
      </c>
      <c r="C176" s="38" t="s">
        <v>65</v>
      </c>
      <c r="D176" s="38" t="s">
        <v>66</v>
      </c>
      <c r="E176" s="39">
        <v>3068.19</v>
      </c>
      <c r="F176" s="39">
        <v>0</v>
      </c>
      <c r="G176" s="39">
        <v>0</v>
      </c>
      <c r="H176" s="40">
        <v>0</v>
      </c>
      <c r="I176" s="40">
        <v>0</v>
      </c>
      <c r="J176" s="40">
        <v>245.46</v>
      </c>
      <c r="K176" s="40">
        <v>0</v>
      </c>
      <c r="L176" s="40">
        <v>0</v>
      </c>
      <c r="M176" s="40">
        <v>0</v>
      </c>
      <c r="N176" s="40">
        <v>0</v>
      </c>
      <c r="O176" s="40">
        <v>3068.19</v>
      </c>
      <c r="P176" s="40">
        <v>0</v>
      </c>
      <c r="Q176" s="40">
        <v>0</v>
      </c>
      <c r="R176" s="40">
        <v>256.77</v>
      </c>
      <c r="S176" s="40">
        <v>0</v>
      </c>
      <c r="T176" s="40">
        <v>0</v>
      </c>
      <c r="U176" s="40">
        <v>0</v>
      </c>
      <c r="V176" s="40">
        <v>3068.19</v>
      </c>
      <c r="W176" s="40">
        <v>0</v>
      </c>
      <c r="X176" s="40">
        <v>0</v>
      </c>
      <c r="Y176" s="40">
        <v>0</v>
      </c>
      <c r="Z176" s="40">
        <v>0</v>
      </c>
      <c r="AA176" s="40">
        <v>114.07</v>
      </c>
      <c r="AB176" s="40">
        <v>613.64</v>
      </c>
      <c r="AC176" s="40">
        <v>177.96</v>
      </c>
      <c r="AD176" s="40">
        <v>1162.44</v>
      </c>
      <c r="AE176" s="49">
        <f t="shared" si="46"/>
        <v>0</v>
      </c>
      <c r="AF176" s="49">
        <f t="shared" si="47"/>
        <v>1.0000000000019327E-2</v>
      </c>
      <c r="AG176" t="s">
        <v>239</v>
      </c>
      <c r="AH176" s="55">
        <v>3068.19</v>
      </c>
      <c r="AI176">
        <v>245.45</v>
      </c>
      <c r="AJ176" s="49">
        <f t="shared" si="48"/>
        <v>0</v>
      </c>
      <c r="AK176" s="49">
        <f t="shared" si="49"/>
        <v>0</v>
      </c>
      <c r="AL176" t="s">
        <v>239</v>
      </c>
      <c r="AM176" s="81">
        <v>3068.19</v>
      </c>
      <c r="AN176" s="81">
        <v>256.77</v>
      </c>
      <c r="AO176" s="81">
        <v>0</v>
      </c>
      <c r="AP176" s="81">
        <v>0</v>
      </c>
    </row>
    <row r="177" spans="1:42" ht="15" customHeight="1">
      <c r="A177" s="38" t="s">
        <v>240</v>
      </c>
      <c r="B177" s="38" t="s">
        <v>68</v>
      </c>
      <c r="C177" s="38" t="s">
        <v>65</v>
      </c>
      <c r="D177" s="38" t="s">
        <v>66</v>
      </c>
      <c r="E177" s="39">
        <v>3722.22</v>
      </c>
      <c r="F177" s="39">
        <v>0</v>
      </c>
      <c r="G177" s="39">
        <v>0</v>
      </c>
      <c r="H177" s="40">
        <v>0</v>
      </c>
      <c r="I177" s="40">
        <v>0</v>
      </c>
      <c r="J177" s="40">
        <v>297.77999999999997</v>
      </c>
      <c r="K177" s="40">
        <v>0</v>
      </c>
      <c r="L177" s="40">
        <v>0</v>
      </c>
      <c r="M177" s="40">
        <v>0</v>
      </c>
      <c r="N177" s="40">
        <v>0</v>
      </c>
      <c r="O177" s="40">
        <v>3722.22</v>
      </c>
      <c r="P177" s="40">
        <v>0</v>
      </c>
      <c r="Q177" s="40">
        <v>0</v>
      </c>
      <c r="R177" s="40">
        <v>335.25</v>
      </c>
      <c r="S177" s="40">
        <v>0</v>
      </c>
      <c r="T177" s="40">
        <v>0</v>
      </c>
      <c r="U177" s="40">
        <v>0</v>
      </c>
      <c r="V177" s="40">
        <v>3722.22</v>
      </c>
      <c r="W177" s="40">
        <v>0</v>
      </c>
      <c r="X177" s="40">
        <v>0</v>
      </c>
      <c r="Y177" s="40">
        <v>0</v>
      </c>
      <c r="Z177" s="40">
        <v>0</v>
      </c>
      <c r="AA177" s="40">
        <v>138.38999999999999</v>
      </c>
      <c r="AB177" s="40">
        <v>744.44</v>
      </c>
      <c r="AC177" s="40">
        <v>215.89</v>
      </c>
      <c r="AD177" s="40">
        <v>1433.97</v>
      </c>
      <c r="AE177" s="49">
        <f t="shared" si="46"/>
        <v>0</v>
      </c>
      <c r="AF177" s="49">
        <f t="shared" si="47"/>
        <v>9.9999999999909051E-3</v>
      </c>
      <c r="AG177" t="s">
        <v>240</v>
      </c>
      <c r="AH177" s="55">
        <v>3722.22</v>
      </c>
      <c r="AI177">
        <v>297.77</v>
      </c>
      <c r="AJ177" s="49">
        <f t="shared" si="48"/>
        <v>0</v>
      </c>
      <c r="AK177" s="49">
        <f t="shared" si="49"/>
        <v>0</v>
      </c>
      <c r="AL177" t="s">
        <v>240</v>
      </c>
      <c r="AM177" s="81">
        <v>3722.22</v>
      </c>
      <c r="AN177" s="81">
        <v>335.25</v>
      </c>
      <c r="AO177" s="81">
        <v>0</v>
      </c>
      <c r="AP177" s="81">
        <v>0</v>
      </c>
    </row>
    <row r="178" spans="1:42" ht="15" customHeight="1">
      <c r="A178" s="38" t="s">
        <v>241</v>
      </c>
      <c r="B178" s="38" t="s">
        <v>108</v>
      </c>
      <c r="C178" s="38" t="s">
        <v>65</v>
      </c>
      <c r="D178" s="38" t="s">
        <v>109</v>
      </c>
      <c r="E178" s="39">
        <v>641.41999999999996</v>
      </c>
      <c r="F178" s="39">
        <v>0</v>
      </c>
      <c r="G178" s="39">
        <v>0</v>
      </c>
      <c r="H178" s="40">
        <v>0</v>
      </c>
      <c r="I178" s="40">
        <v>0</v>
      </c>
      <c r="J178" s="40">
        <v>12.83</v>
      </c>
      <c r="K178" s="40">
        <v>0</v>
      </c>
      <c r="L178" s="40">
        <v>0</v>
      </c>
      <c r="M178" s="40">
        <v>0</v>
      </c>
      <c r="N178" s="40">
        <v>0</v>
      </c>
      <c r="O178" s="40">
        <v>641.41999999999996</v>
      </c>
      <c r="P178" s="40">
        <v>0</v>
      </c>
      <c r="Q178" s="40">
        <v>0</v>
      </c>
      <c r="R178" s="40">
        <v>48.1</v>
      </c>
      <c r="S178" s="40">
        <v>0</v>
      </c>
      <c r="T178" s="40">
        <v>0</v>
      </c>
      <c r="U178" s="40">
        <v>0</v>
      </c>
      <c r="V178" s="40">
        <v>641.41999999999996</v>
      </c>
      <c r="W178" s="40">
        <v>0</v>
      </c>
      <c r="X178" s="40">
        <v>0</v>
      </c>
      <c r="Y178" s="40">
        <v>0</v>
      </c>
      <c r="Z178" s="40">
        <v>0</v>
      </c>
      <c r="AA178" s="40">
        <v>23.85</v>
      </c>
      <c r="AB178" s="40">
        <v>128.28</v>
      </c>
      <c r="AC178" s="40">
        <v>37.200000000000003</v>
      </c>
      <c r="AD178" s="40">
        <v>237.43</v>
      </c>
      <c r="AE178" s="49">
        <f t="shared" si="46"/>
        <v>0</v>
      </c>
      <c r="AF178" s="49">
        <f t="shared" si="47"/>
        <v>9.9999999999997868E-3</v>
      </c>
      <c r="AG178" t="s">
        <v>241</v>
      </c>
      <c r="AH178">
        <v>641.41999999999996</v>
      </c>
      <c r="AI178">
        <v>12.82</v>
      </c>
      <c r="AJ178" s="49">
        <f t="shared" si="48"/>
        <v>0</v>
      </c>
      <c r="AK178" s="49">
        <f t="shared" si="49"/>
        <v>0</v>
      </c>
      <c r="AL178" t="s">
        <v>241</v>
      </c>
      <c r="AM178" s="81">
        <v>641.41999999999996</v>
      </c>
      <c r="AN178" s="81">
        <v>48.1</v>
      </c>
      <c r="AO178" s="81">
        <v>0</v>
      </c>
      <c r="AP178" s="81">
        <v>0</v>
      </c>
    </row>
    <row r="179" spans="1:42" ht="15" customHeight="1">
      <c r="A179" s="38" t="s">
        <v>242</v>
      </c>
      <c r="B179" s="38" t="s">
        <v>134</v>
      </c>
      <c r="C179" s="38" t="s">
        <v>65</v>
      </c>
      <c r="D179" s="38" t="s">
        <v>66</v>
      </c>
      <c r="E179" s="39">
        <v>3350.62</v>
      </c>
      <c r="F179" s="39">
        <v>0</v>
      </c>
      <c r="G179" s="39">
        <v>0</v>
      </c>
      <c r="H179" s="40">
        <v>0</v>
      </c>
      <c r="I179" s="40">
        <v>0</v>
      </c>
      <c r="J179" s="40">
        <v>268.05</v>
      </c>
      <c r="K179" s="40">
        <v>0</v>
      </c>
      <c r="L179" s="40">
        <v>0</v>
      </c>
      <c r="M179" s="40">
        <v>0</v>
      </c>
      <c r="N179" s="40">
        <v>0</v>
      </c>
      <c r="O179" s="40">
        <v>3350.62</v>
      </c>
      <c r="P179" s="40">
        <v>0</v>
      </c>
      <c r="Q179" s="40">
        <v>0</v>
      </c>
      <c r="R179" s="40">
        <v>290.66000000000003</v>
      </c>
      <c r="S179" s="40">
        <v>0</v>
      </c>
      <c r="T179" s="40">
        <v>0</v>
      </c>
      <c r="U179" s="40">
        <v>0</v>
      </c>
      <c r="V179" s="40">
        <v>3350.62</v>
      </c>
      <c r="W179" s="40">
        <v>0</v>
      </c>
      <c r="X179" s="40">
        <v>0</v>
      </c>
      <c r="Y179" s="40">
        <v>0</v>
      </c>
      <c r="Z179" s="40">
        <v>0</v>
      </c>
      <c r="AA179" s="40">
        <v>124.57</v>
      </c>
      <c r="AB179" s="40">
        <v>670.12</v>
      </c>
      <c r="AC179" s="40">
        <v>194.34</v>
      </c>
      <c r="AD179" s="40">
        <v>1279.69</v>
      </c>
      <c r="AE179" s="49">
        <f t="shared" si="46"/>
        <v>0</v>
      </c>
      <c r="AF179" s="49">
        <f t="shared" si="47"/>
        <v>9.9999999999909051E-3</v>
      </c>
      <c r="AG179" t="s">
        <v>242</v>
      </c>
      <c r="AH179" s="55">
        <v>3350.62</v>
      </c>
      <c r="AI179">
        <v>268.04000000000002</v>
      </c>
      <c r="AJ179" s="49">
        <f t="shared" si="48"/>
        <v>0</v>
      </c>
      <c r="AK179" s="49">
        <f t="shared" si="49"/>
        <v>0</v>
      </c>
      <c r="AL179" t="s">
        <v>242</v>
      </c>
      <c r="AM179" s="81">
        <v>3350.62</v>
      </c>
      <c r="AN179" s="81">
        <v>290.66000000000003</v>
      </c>
      <c r="AO179" s="81">
        <v>0</v>
      </c>
      <c r="AP179" s="81">
        <v>0</v>
      </c>
    </row>
    <row r="180" spans="1:42" ht="15" customHeight="1">
      <c r="A180" s="38" t="s">
        <v>243</v>
      </c>
      <c r="B180" s="38" t="s">
        <v>68</v>
      </c>
      <c r="C180" s="38" t="s">
        <v>65</v>
      </c>
      <c r="D180" s="38" t="s">
        <v>66</v>
      </c>
      <c r="E180" s="39">
        <v>5027.0600000000004</v>
      </c>
      <c r="F180" s="39">
        <v>0</v>
      </c>
      <c r="G180" s="39">
        <v>0</v>
      </c>
      <c r="H180" s="40">
        <v>0</v>
      </c>
      <c r="I180" s="40">
        <v>0</v>
      </c>
      <c r="J180" s="40">
        <v>402.16</v>
      </c>
      <c r="K180" s="40">
        <v>0</v>
      </c>
      <c r="L180" s="40">
        <v>0</v>
      </c>
      <c r="M180" s="40">
        <v>0</v>
      </c>
      <c r="N180" s="40">
        <v>0</v>
      </c>
      <c r="O180" s="40">
        <v>5027.0600000000004</v>
      </c>
      <c r="P180" s="40">
        <v>0</v>
      </c>
      <c r="Q180" s="40">
        <v>0</v>
      </c>
      <c r="R180" s="40">
        <v>505.29</v>
      </c>
      <c r="S180" s="40">
        <v>0</v>
      </c>
      <c r="T180" s="40">
        <v>0</v>
      </c>
      <c r="U180" s="40">
        <v>0</v>
      </c>
      <c r="V180" s="40">
        <v>5027.0600000000004</v>
      </c>
      <c r="W180" s="40">
        <v>0</v>
      </c>
      <c r="X180" s="40">
        <v>0</v>
      </c>
      <c r="Y180" s="40">
        <v>0</v>
      </c>
      <c r="Z180" s="40">
        <v>0</v>
      </c>
      <c r="AA180" s="40">
        <v>186.9</v>
      </c>
      <c r="AB180" s="40">
        <v>1005.41</v>
      </c>
      <c r="AC180" s="40">
        <v>291.57</v>
      </c>
      <c r="AD180" s="40">
        <v>1989.17</v>
      </c>
      <c r="AE180" s="49">
        <f t="shared" si="46"/>
        <v>0</v>
      </c>
      <c r="AF180" s="49">
        <f t="shared" si="47"/>
        <v>0</v>
      </c>
      <c r="AG180" t="s">
        <v>243</v>
      </c>
      <c r="AH180" s="55">
        <v>5027.0600000000004</v>
      </c>
      <c r="AI180">
        <v>402.16</v>
      </c>
      <c r="AJ180" s="49">
        <f t="shared" si="48"/>
        <v>0</v>
      </c>
      <c r="AK180" s="49">
        <f t="shared" si="49"/>
        <v>0</v>
      </c>
      <c r="AL180" t="s">
        <v>243</v>
      </c>
      <c r="AM180" s="81">
        <v>5027.0600000000004</v>
      </c>
      <c r="AN180" s="81">
        <v>505.29</v>
      </c>
      <c r="AO180" s="81">
        <v>0</v>
      </c>
      <c r="AP180" s="81">
        <v>0</v>
      </c>
    </row>
    <row r="181" spans="1:42" ht="15" customHeight="1">
      <c r="A181" s="38" t="s">
        <v>244</v>
      </c>
      <c r="B181" s="38" t="s">
        <v>152</v>
      </c>
      <c r="C181" s="38" t="s">
        <v>65</v>
      </c>
      <c r="D181" s="38" t="s">
        <v>66</v>
      </c>
      <c r="E181" s="39">
        <v>4197.1499999999996</v>
      </c>
      <c r="F181" s="39">
        <v>0</v>
      </c>
      <c r="G181" s="39">
        <v>0</v>
      </c>
      <c r="H181" s="40">
        <v>0</v>
      </c>
      <c r="I181" s="40">
        <v>0</v>
      </c>
      <c r="J181" s="40">
        <v>335.77</v>
      </c>
      <c r="K181" s="40">
        <v>0</v>
      </c>
      <c r="L181" s="40">
        <v>0</v>
      </c>
      <c r="M181" s="40">
        <v>0</v>
      </c>
      <c r="N181" s="40">
        <v>0</v>
      </c>
      <c r="O181" s="40">
        <v>4197.1499999999996</v>
      </c>
      <c r="P181" s="40">
        <v>0</v>
      </c>
      <c r="Q181" s="40">
        <v>0</v>
      </c>
      <c r="R181" s="40">
        <v>392.24</v>
      </c>
      <c r="S181" s="40">
        <v>0</v>
      </c>
      <c r="T181" s="40">
        <v>0</v>
      </c>
      <c r="U181" s="40">
        <v>0</v>
      </c>
      <c r="V181" s="40">
        <v>4197.1499999999996</v>
      </c>
      <c r="W181" s="40">
        <v>0</v>
      </c>
      <c r="X181" s="40">
        <v>0</v>
      </c>
      <c r="Y181" s="40">
        <v>0</v>
      </c>
      <c r="Z181" s="40">
        <v>0</v>
      </c>
      <c r="AA181" s="40">
        <v>156.05000000000001</v>
      </c>
      <c r="AB181" s="40">
        <v>839.43</v>
      </c>
      <c r="AC181" s="40">
        <v>243.43</v>
      </c>
      <c r="AD181" s="40">
        <v>1631.15</v>
      </c>
      <c r="AE181" s="49">
        <f t="shared" si="46"/>
        <v>0</v>
      </c>
      <c r="AF181" s="49">
        <f t="shared" si="47"/>
        <v>0</v>
      </c>
      <c r="AG181" t="s">
        <v>244</v>
      </c>
      <c r="AH181" s="55">
        <v>4197.1499999999996</v>
      </c>
      <c r="AI181">
        <v>335.77</v>
      </c>
      <c r="AJ181" s="49">
        <f t="shared" si="48"/>
        <v>0</v>
      </c>
      <c r="AK181" s="49">
        <f t="shared" si="49"/>
        <v>0</v>
      </c>
      <c r="AL181" t="s">
        <v>244</v>
      </c>
      <c r="AM181" s="81">
        <v>4197.1499999999996</v>
      </c>
      <c r="AN181" s="81">
        <v>392.24</v>
      </c>
      <c r="AO181" s="81">
        <v>0</v>
      </c>
      <c r="AP181" s="81">
        <v>0</v>
      </c>
    </row>
    <row r="182" spans="1:42" ht="15" customHeight="1">
      <c r="A182" s="38" t="s">
        <v>245</v>
      </c>
      <c r="B182" s="38" t="s">
        <v>68</v>
      </c>
      <c r="C182" s="38" t="s">
        <v>65</v>
      </c>
      <c r="D182" s="38" t="s">
        <v>66</v>
      </c>
      <c r="E182" s="39">
        <v>3066.89</v>
      </c>
      <c r="F182" s="39">
        <v>0</v>
      </c>
      <c r="G182" s="39">
        <v>0</v>
      </c>
      <c r="H182" s="40">
        <v>0</v>
      </c>
      <c r="I182" s="40">
        <v>0</v>
      </c>
      <c r="J182" s="40">
        <v>245.35</v>
      </c>
      <c r="K182" s="40">
        <v>0</v>
      </c>
      <c r="L182" s="40">
        <v>0</v>
      </c>
      <c r="M182" s="40">
        <v>0</v>
      </c>
      <c r="N182" s="40">
        <v>0</v>
      </c>
      <c r="O182" s="40">
        <v>3066.89</v>
      </c>
      <c r="P182" s="40">
        <v>0</v>
      </c>
      <c r="Q182" s="40">
        <v>0</v>
      </c>
      <c r="R182" s="40">
        <v>256.61</v>
      </c>
      <c r="S182" s="40">
        <v>0</v>
      </c>
      <c r="T182" s="40">
        <v>0</v>
      </c>
      <c r="U182" s="40">
        <v>0</v>
      </c>
      <c r="V182" s="40">
        <v>3066.89</v>
      </c>
      <c r="W182" s="40">
        <v>0</v>
      </c>
      <c r="X182" s="40">
        <v>0</v>
      </c>
      <c r="Y182" s="40">
        <v>0</v>
      </c>
      <c r="Z182" s="40">
        <v>0</v>
      </c>
      <c r="AA182" s="40">
        <v>114.02</v>
      </c>
      <c r="AB182" s="40">
        <v>613.38</v>
      </c>
      <c r="AC182" s="40">
        <v>177.88</v>
      </c>
      <c r="AD182" s="40">
        <v>1161.8900000000001</v>
      </c>
      <c r="AE182" s="49">
        <f t="shared" si="46"/>
        <v>0</v>
      </c>
      <c r="AF182" s="49">
        <f t="shared" si="47"/>
        <v>0</v>
      </c>
      <c r="AG182" t="s">
        <v>245</v>
      </c>
      <c r="AH182" s="55">
        <v>3066.89</v>
      </c>
      <c r="AI182">
        <v>245.35</v>
      </c>
      <c r="AJ182" s="49">
        <f t="shared" si="48"/>
        <v>0</v>
      </c>
      <c r="AK182" s="49">
        <f t="shared" si="49"/>
        <v>0</v>
      </c>
      <c r="AL182" t="s">
        <v>245</v>
      </c>
      <c r="AM182" s="81">
        <v>3066.89</v>
      </c>
      <c r="AN182" s="81">
        <v>256.61</v>
      </c>
      <c r="AO182" s="81">
        <v>0</v>
      </c>
      <c r="AP182" s="81">
        <v>0</v>
      </c>
    </row>
    <row r="183" spans="1:42" ht="15" customHeight="1">
      <c r="A183" s="38" t="s">
        <v>246</v>
      </c>
      <c r="B183" s="38" t="s">
        <v>68</v>
      </c>
      <c r="C183" s="38" t="s">
        <v>65</v>
      </c>
      <c r="D183" s="38" t="s">
        <v>66</v>
      </c>
      <c r="E183" s="39">
        <v>3251.26</v>
      </c>
      <c r="F183" s="39">
        <v>0</v>
      </c>
      <c r="G183" s="39">
        <v>0</v>
      </c>
      <c r="H183" s="40">
        <v>0</v>
      </c>
      <c r="I183" s="40">
        <v>0</v>
      </c>
      <c r="J183" s="40">
        <v>260.10000000000002</v>
      </c>
      <c r="K183" s="40">
        <v>0</v>
      </c>
      <c r="L183" s="40">
        <v>0</v>
      </c>
      <c r="M183" s="40">
        <v>0</v>
      </c>
      <c r="N183" s="40">
        <v>0</v>
      </c>
      <c r="O183" s="40">
        <v>3251.26</v>
      </c>
      <c r="P183" s="40">
        <v>0</v>
      </c>
      <c r="Q183" s="40">
        <v>0</v>
      </c>
      <c r="R183" s="40">
        <v>278.74</v>
      </c>
      <c r="S183" s="40">
        <v>0</v>
      </c>
      <c r="T183" s="40">
        <v>0</v>
      </c>
      <c r="U183" s="40">
        <v>0</v>
      </c>
      <c r="V183" s="40">
        <v>3251.26</v>
      </c>
      <c r="W183" s="40">
        <v>0</v>
      </c>
      <c r="X183" s="40">
        <v>0</v>
      </c>
      <c r="Y183" s="40">
        <v>0</v>
      </c>
      <c r="Z183" s="40">
        <v>0</v>
      </c>
      <c r="AA183" s="40">
        <v>120.88</v>
      </c>
      <c r="AB183" s="40">
        <v>650.25</v>
      </c>
      <c r="AC183" s="40">
        <v>188.57</v>
      </c>
      <c r="AD183" s="40">
        <v>1238.44</v>
      </c>
      <c r="AE183" s="49">
        <f t="shared" si="46"/>
        <v>0</v>
      </c>
      <c r="AF183" s="49">
        <f t="shared" si="47"/>
        <v>0</v>
      </c>
      <c r="AG183" t="s">
        <v>246</v>
      </c>
      <c r="AH183" s="55">
        <v>3251.26</v>
      </c>
      <c r="AI183">
        <v>260.10000000000002</v>
      </c>
      <c r="AJ183" s="49">
        <f t="shared" si="48"/>
        <v>0</v>
      </c>
      <c r="AK183" s="49">
        <f t="shared" si="49"/>
        <v>0</v>
      </c>
      <c r="AL183" t="s">
        <v>246</v>
      </c>
      <c r="AM183" s="81">
        <v>3251.26</v>
      </c>
      <c r="AN183" s="81">
        <v>278.74</v>
      </c>
      <c r="AO183" s="81">
        <v>0</v>
      </c>
      <c r="AP183" s="81">
        <v>0</v>
      </c>
    </row>
    <row r="184" spans="1:42" ht="15" customHeight="1">
      <c r="A184" s="38" t="s">
        <v>247</v>
      </c>
      <c r="B184" s="38" t="s">
        <v>92</v>
      </c>
      <c r="C184" s="38" t="s">
        <v>82</v>
      </c>
      <c r="D184" s="38" t="s">
        <v>66</v>
      </c>
      <c r="E184" s="39">
        <v>646.58000000000004</v>
      </c>
      <c r="F184" s="39">
        <v>0</v>
      </c>
      <c r="G184" s="39">
        <v>0</v>
      </c>
      <c r="H184" s="40">
        <v>5361.96</v>
      </c>
      <c r="I184" s="40">
        <v>0</v>
      </c>
      <c r="J184" s="40">
        <v>51.73</v>
      </c>
      <c r="K184" s="40">
        <v>0</v>
      </c>
      <c r="L184" s="40">
        <v>0</v>
      </c>
      <c r="M184" s="40">
        <v>428.96</v>
      </c>
      <c r="N184" s="40">
        <v>0</v>
      </c>
      <c r="O184" s="40">
        <v>646.58000000000004</v>
      </c>
      <c r="P184" s="40">
        <v>5361.96</v>
      </c>
      <c r="Q184" s="40">
        <v>0</v>
      </c>
      <c r="R184" s="40">
        <v>48.49</v>
      </c>
      <c r="S184" s="40">
        <v>552.16999999999996</v>
      </c>
      <c r="T184" s="40">
        <v>0</v>
      </c>
      <c r="U184" s="40">
        <v>0</v>
      </c>
      <c r="V184" s="40">
        <v>646.58000000000004</v>
      </c>
      <c r="W184" s="40">
        <v>0</v>
      </c>
      <c r="X184" s="40">
        <v>0</v>
      </c>
      <c r="Y184" s="40">
        <v>99.35</v>
      </c>
      <c r="Z184" s="40">
        <v>0</v>
      </c>
      <c r="AA184" s="40">
        <v>223.39</v>
      </c>
      <c r="AB184" s="40">
        <v>1201.71</v>
      </c>
      <c r="AC184" s="40">
        <v>348.5</v>
      </c>
      <c r="AD184" s="40">
        <v>2374.25</v>
      </c>
      <c r="AE184" s="49">
        <f t="shared" si="46"/>
        <v>0</v>
      </c>
      <c r="AF184" s="49">
        <f t="shared" si="47"/>
        <v>1.999999999998181E-2</v>
      </c>
      <c r="AG184" t="s">
        <v>247</v>
      </c>
      <c r="AH184" s="55">
        <v>6008.54</v>
      </c>
      <c r="AI184">
        <v>480.67</v>
      </c>
      <c r="AJ184" s="49">
        <f t="shared" si="48"/>
        <v>0</v>
      </c>
      <c r="AK184" s="49">
        <f t="shared" si="49"/>
        <v>0</v>
      </c>
      <c r="AL184" t="s">
        <v>247</v>
      </c>
      <c r="AM184" s="81">
        <v>646.58000000000004</v>
      </c>
      <c r="AN184" s="81">
        <v>48.49</v>
      </c>
      <c r="AO184" s="81">
        <v>5361.96</v>
      </c>
      <c r="AP184" s="81">
        <v>552.16999999999996</v>
      </c>
    </row>
    <row r="185" spans="1:42" ht="15" customHeight="1">
      <c r="A185" s="38" t="s">
        <v>248</v>
      </c>
      <c r="B185" s="38" t="s">
        <v>68</v>
      </c>
      <c r="C185" s="38" t="s">
        <v>65</v>
      </c>
      <c r="D185" s="38" t="s">
        <v>66</v>
      </c>
      <c r="E185" s="39">
        <v>6329.75</v>
      </c>
      <c r="F185" s="39">
        <v>0</v>
      </c>
      <c r="G185" s="39">
        <v>0</v>
      </c>
      <c r="H185" s="40">
        <v>0</v>
      </c>
      <c r="I185" s="40">
        <v>0</v>
      </c>
      <c r="J185" s="40">
        <v>506.38</v>
      </c>
      <c r="K185" s="40">
        <v>0</v>
      </c>
      <c r="L185" s="40">
        <v>0</v>
      </c>
      <c r="M185" s="40">
        <v>0</v>
      </c>
      <c r="N185" s="40">
        <v>0</v>
      </c>
      <c r="O185" s="40">
        <v>6329.75</v>
      </c>
      <c r="P185" s="40">
        <v>0</v>
      </c>
      <c r="Q185" s="40">
        <v>0</v>
      </c>
      <c r="R185" s="40">
        <v>687.66</v>
      </c>
      <c r="S185" s="40">
        <v>0</v>
      </c>
      <c r="T185" s="40">
        <v>0</v>
      </c>
      <c r="U185" s="40">
        <v>0</v>
      </c>
      <c r="V185" s="40">
        <v>6329.75</v>
      </c>
      <c r="W185" s="40">
        <v>0</v>
      </c>
      <c r="X185" s="40">
        <v>506.99</v>
      </c>
      <c r="Y185" s="40">
        <v>0</v>
      </c>
      <c r="Z185" s="40">
        <v>0</v>
      </c>
      <c r="AA185" s="40">
        <v>235.33</v>
      </c>
      <c r="AB185" s="40">
        <v>1265.95</v>
      </c>
      <c r="AC185" s="40">
        <v>367.13</v>
      </c>
      <c r="AD185" s="40">
        <v>2556.0700000000002</v>
      </c>
      <c r="AE185" s="49">
        <f t="shared" si="46"/>
        <v>0</v>
      </c>
      <c r="AF185" s="49">
        <f t="shared" si="47"/>
        <v>0</v>
      </c>
      <c r="AG185" t="s">
        <v>248</v>
      </c>
      <c r="AH185" s="55">
        <v>6329.75</v>
      </c>
      <c r="AI185">
        <v>506.38</v>
      </c>
      <c r="AJ185" s="49">
        <f t="shared" si="48"/>
        <v>0</v>
      </c>
      <c r="AK185" s="49">
        <f t="shared" si="49"/>
        <v>0</v>
      </c>
      <c r="AL185" t="s">
        <v>248</v>
      </c>
      <c r="AM185" s="81">
        <v>6329.75</v>
      </c>
      <c r="AN185" s="81">
        <v>687.66</v>
      </c>
      <c r="AO185" s="81">
        <v>0</v>
      </c>
      <c r="AP185" s="81">
        <v>0</v>
      </c>
    </row>
    <row r="186" spans="1:42" ht="15" customHeight="1">
      <c r="A186" s="38" t="s">
        <v>249</v>
      </c>
      <c r="B186" s="38" t="s">
        <v>71</v>
      </c>
      <c r="C186" s="38" t="s">
        <v>65</v>
      </c>
      <c r="D186" s="38" t="s">
        <v>66</v>
      </c>
      <c r="E186" s="39">
        <v>6784.17</v>
      </c>
      <c r="F186" s="39">
        <v>0</v>
      </c>
      <c r="G186" s="39">
        <v>0</v>
      </c>
      <c r="H186" s="40">
        <v>0</v>
      </c>
      <c r="I186" s="40">
        <v>0</v>
      </c>
      <c r="J186" s="40">
        <v>542.73</v>
      </c>
      <c r="K186" s="40">
        <v>0</v>
      </c>
      <c r="L186" s="40">
        <v>0</v>
      </c>
      <c r="M186" s="40">
        <v>0</v>
      </c>
      <c r="N186" s="40">
        <v>0</v>
      </c>
      <c r="O186" s="40">
        <v>6784.17</v>
      </c>
      <c r="P186" s="40">
        <v>0</v>
      </c>
      <c r="Q186" s="40">
        <v>0</v>
      </c>
      <c r="R186" s="40">
        <v>751.28</v>
      </c>
      <c r="S186" s="40">
        <v>0</v>
      </c>
      <c r="T186" s="40">
        <v>0</v>
      </c>
      <c r="U186" s="40">
        <v>0</v>
      </c>
      <c r="V186" s="40">
        <v>6784.17</v>
      </c>
      <c r="W186" s="40">
        <v>0</v>
      </c>
      <c r="X186" s="40">
        <v>674.97</v>
      </c>
      <c r="Y186" s="40">
        <v>0</v>
      </c>
      <c r="Z186" s="40">
        <v>0</v>
      </c>
      <c r="AA186" s="40">
        <v>252.23</v>
      </c>
      <c r="AB186" s="40">
        <v>1356.83</v>
      </c>
      <c r="AC186" s="40">
        <v>393.48</v>
      </c>
      <c r="AD186" s="40">
        <v>2753.82</v>
      </c>
      <c r="AE186" s="49">
        <f t="shared" si="46"/>
        <v>0</v>
      </c>
      <c r="AF186" s="49">
        <f t="shared" si="47"/>
        <v>0</v>
      </c>
      <c r="AG186" t="s">
        <v>249</v>
      </c>
      <c r="AH186" s="55">
        <v>6784.17</v>
      </c>
      <c r="AI186">
        <v>542.73</v>
      </c>
      <c r="AJ186" s="49">
        <f t="shared" si="48"/>
        <v>0</v>
      </c>
      <c r="AK186" s="49">
        <f t="shared" si="49"/>
        <v>0</v>
      </c>
      <c r="AL186" t="s">
        <v>249</v>
      </c>
      <c r="AM186" s="81">
        <v>6784.17</v>
      </c>
      <c r="AN186" s="81">
        <v>751.28</v>
      </c>
      <c r="AO186" s="81">
        <v>0</v>
      </c>
      <c r="AP186" s="81">
        <v>0</v>
      </c>
    </row>
    <row r="187" spans="1:42" ht="15" customHeight="1">
      <c r="A187" s="38" t="s">
        <v>250</v>
      </c>
      <c r="B187" s="38" t="s">
        <v>68</v>
      </c>
      <c r="C187" s="38" t="s">
        <v>65</v>
      </c>
      <c r="D187" s="38" t="s">
        <v>66</v>
      </c>
      <c r="E187" s="39">
        <v>6538.86</v>
      </c>
      <c r="F187" s="39">
        <v>0</v>
      </c>
      <c r="G187" s="39">
        <v>0</v>
      </c>
      <c r="H187" s="40">
        <v>0</v>
      </c>
      <c r="I187" s="40">
        <v>0</v>
      </c>
      <c r="J187" s="40">
        <v>523.11</v>
      </c>
      <c r="K187" s="40">
        <v>0</v>
      </c>
      <c r="L187" s="40">
        <v>0</v>
      </c>
      <c r="M187" s="40">
        <v>0</v>
      </c>
      <c r="N187" s="40">
        <v>0</v>
      </c>
      <c r="O187" s="40">
        <v>6538.86</v>
      </c>
      <c r="P187" s="40">
        <v>0</v>
      </c>
      <c r="Q187" s="40">
        <v>0</v>
      </c>
      <c r="R187" s="40">
        <v>716.94</v>
      </c>
      <c r="S187" s="40">
        <v>0</v>
      </c>
      <c r="T187" s="40">
        <v>0</v>
      </c>
      <c r="U187" s="40">
        <v>0</v>
      </c>
      <c r="V187" s="40">
        <v>6538.86</v>
      </c>
      <c r="W187" s="40">
        <v>0</v>
      </c>
      <c r="X187" s="40">
        <v>584.29</v>
      </c>
      <c r="Y187" s="40">
        <v>0</v>
      </c>
      <c r="Z187" s="40">
        <v>0</v>
      </c>
      <c r="AA187" s="40">
        <v>243.11</v>
      </c>
      <c r="AB187" s="40">
        <v>1307.77</v>
      </c>
      <c r="AC187" s="40">
        <v>379.25</v>
      </c>
      <c r="AD187" s="40">
        <v>2647.07</v>
      </c>
      <c r="AE187" s="49">
        <f t="shared" si="46"/>
        <v>0</v>
      </c>
      <c r="AF187" s="49">
        <f t="shared" si="47"/>
        <v>9.9999999999909051E-3</v>
      </c>
      <c r="AG187" t="s">
        <v>250</v>
      </c>
      <c r="AH187" s="55">
        <v>6538.86</v>
      </c>
      <c r="AI187">
        <v>523.1</v>
      </c>
      <c r="AJ187" s="49">
        <f t="shared" si="48"/>
        <v>0</v>
      </c>
      <c r="AK187" s="49">
        <f t="shared" si="49"/>
        <v>0</v>
      </c>
      <c r="AL187" t="s">
        <v>250</v>
      </c>
      <c r="AM187" s="81">
        <v>6538.86</v>
      </c>
      <c r="AN187" s="81">
        <v>716.94</v>
      </c>
      <c r="AO187" s="81">
        <v>0</v>
      </c>
      <c r="AP187" s="81">
        <v>0</v>
      </c>
    </row>
    <row r="188" spans="1:42" ht="15" customHeight="1">
      <c r="A188" s="38" t="s">
        <v>251</v>
      </c>
      <c r="B188" s="38" t="s">
        <v>87</v>
      </c>
      <c r="C188" s="38" t="s">
        <v>65</v>
      </c>
      <c r="D188" s="38" t="s">
        <v>66</v>
      </c>
      <c r="E188" s="39">
        <v>8130.51</v>
      </c>
      <c r="F188" s="39">
        <v>0</v>
      </c>
      <c r="G188" s="39">
        <v>0</v>
      </c>
      <c r="H188" s="40">
        <v>0</v>
      </c>
      <c r="I188" s="40">
        <v>0</v>
      </c>
      <c r="J188" s="40">
        <v>650.44000000000005</v>
      </c>
      <c r="K188" s="40">
        <v>0</v>
      </c>
      <c r="L188" s="40">
        <v>0</v>
      </c>
      <c r="M188" s="40">
        <v>0</v>
      </c>
      <c r="N188" s="40">
        <v>0</v>
      </c>
      <c r="O188" s="40">
        <v>8130.51</v>
      </c>
      <c r="P188" s="40">
        <v>0</v>
      </c>
      <c r="Q188" s="40">
        <v>0</v>
      </c>
      <c r="R188" s="40">
        <v>939.77</v>
      </c>
      <c r="S188" s="40">
        <v>0</v>
      </c>
      <c r="T188" s="40">
        <v>0</v>
      </c>
      <c r="U188" s="40">
        <v>0</v>
      </c>
      <c r="V188" s="40">
        <v>8130.51</v>
      </c>
      <c r="W188" s="40">
        <v>0</v>
      </c>
      <c r="X188" s="40">
        <v>1068.72</v>
      </c>
      <c r="Y188" s="40">
        <v>0</v>
      </c>
      <c r="Z188" s="40">
        <v>0</v>
      </c>
      <c r="AA188" s="40">
        <v>302.27999999999997</v>
      </c>
      <c r="AB188" s="40">
        <v>1626.1</v>
      </c>
      <c r="AC188" s="40">
        <v>471.57</v>
      </c>
      <c r="AD188" s="40">
        <v>3339.73</v>
      </c>
      <c r="AE188" s="49">
        <f t="shared" si="46"/>
        <v>0</v>
      </c>
      <c r="AF188" s="49">
        <f t="shared" si="47"/>
        <v>0</v>
      </c>
      <c r="AG188" t="s">
        <v>251</v>
      </c>
      <c r="AH188" s="55">
        <v>8130.51</v>
      </c>
      <c r="AI188">
        <v>650.44000000000005</v>
      </c>
      <c r="AJ188" s="49">
        <f t="shared" si="48"/>
        <v>0</v>
      </c>
      <c r="AK188" s="49">
        <f t="shared" si="49"/>
        <v>0</v>
      </c>
      <c r="AL188" t="s">
        <v>251</v>
      </c>
      <c r="AM188" s="81">
        <v>8130.51</v>
      </c>
      <c r="AN188" s="81">
        <v>939.77</v>
      </c>
      <c r="AO188" s="81">
        <v>0</v>
      </c>
      <c r="AP188" s="81">
        <v>0</v>
      </c>
    </row>
    <row r="189" spans="1:42" ht="15" customHeight="1">
      <c r="A189" s="38" t="s">
        <v>252</v>
      </c>
      <c r="B189" s="38" t="s">
        <v>96</v>
      </c>
      <c r="C189" s="38" t="s">
        <v>65</v>
      </c>
      <c r="D189" s="38" t="s">
        <v>66</v>
      </c>
      <c r="E189" s="39">
        <v>1837.96</v>
      </c>
      <c r="F189" s="39">
        <v>0</v>
      </c>
      <c r="G189" s="39">
        <v>0</v>
      </c>
      <c r="H189" s="40">
        <v>0</v>
      </c>
      <c r="I189" s="40">
        <v>0</v>
      </c>
      <c r="J189" s="40">
        <v>147.04</v>
      </c>
      <c r="K189" s="40">
        <v>0</v>
      </c>
      <c r="L189" s="40">
        <v>0</v>
      </c>
      <c r="M189" s="40">
        <v>0</v>
      </c>
      <c r="N189" s="40">
        <v>0</v>
      </c>
      <c r="O189" s="40">
        <v>1837.96</v>
      </c>
      <c r="P189" s="40">
        <v>0</v>
      </c>
      <c r="Q189" s="40">
        <v>0</v>
      </c>
      <c r="R189" s="40">
        <v>141.09</v>
      </c>
      <c r="S189" s="40">
        <v>0</v>
      </c>
      <c r="T189" s="40">
        <v>0</v>
      </c>
      <c r="U189" s="40">
        <v>0</v>
      </c>
      <c r="V189" s="40">
        <v>1837.96</v>
      </c>
      <c r="W189" s="40">
        <v>0</v>
      </c>
      <c r="X189" s="40">
        <v>0</v>
      </c>
      <c r="Y189" s="40">
        <v>0</v>
      </c>
      <c r="Z189" s="40">
        <v>0</v>
      </c>
      <c r="AA189" s="40">
        <v>68.33</v>
      </c>
      <c r="AB189" s="40">
        <v>367.59</v>
      </c>
      <c r="AC189" s="40">
        <v>106.6</v>
      </c>
      <c r="AD189" s="40">
        <v>683.62</v>
      </c>
      <c r="AE189" s="49">
        <f t="shared" si="46"/>
        <v>0</v>
      </c>
      <c r="AF189" s="49">
        <f t="shared" si="47"/>
        <v>9.9999999999909051E-3</v>
      </c>
      <c r="AG189" t="s">
        <v>252</v>
      </c>
      <c r="AH189" s="55">
        <v>1837.96</v>
      </c>
      <c r="AI189">
        <v>147.03</v>
      </c>
      <c r="AJ189" s="49">
        <f t="shared" si="48"/>
        <v>0</v>
      </c>
      <c r="AK189" s="49">
        <f t="shared" si="49"/>
        <v>0</v>
      </c>
      <c r="AL189" t="s">
        <v>252</v>
      </c>
      <c r="AM189" s="81">
        <v>1837.96</v>
      </c>
      <c r="AN189" s="81">
        <v>141.09</v>
      </c>
      <c r="AO189" s="81">
        <v>0</v>
      </c>
      <c r="AP189" s="81">
        <v>0</v>
      </c>
    </row>
    <row r="190" spans="1:42" ht="15" customHeight="1">
      <c r="A190" s="38" t="s">
        <v>253</v>
      </c>
      <c r="B190" s="38" t="s">
        <v>68</v>
      </c>
      <c r="C190" s="38" t="s">
        <v>65</v>
      </c>
      <c r="D190" s="38" t="s">
        <v>66</v>
      </c>
      <c r="E190" s="39">
        <v>710.5</v>
      </c>
      <c r="F190" s="39">
        <v>0</v>
      </c>
      <c r="G190" s="39">
        <v>0</v>
      </c>
      <c r="H190" s="40">
        <v>0</v>
      </c>
      <c r="I190" s="40">
        <v>0</v>
      </c>
      <c r="J190" s="40">
        <v>56.84</v>
      </c>
      <c r="K190" s="40">
        <v>0</v>
      </c>
      <c r="L190" s="40">
        <v>0</v>
      </c>
      <c r="M190" s="40">
        <v>0</v>
      </c>
      <c r="N190" s="40">
        <v>0</v>
      </c>
      <c r="O190" s="40">
        <v>710.5</v>
      </c>
      <c r="P190" s="40">
        <v>0</v>
      </c>
      <c r="Q190" s="40">
        <v>0</v>
      </c>
      <c r="R190" s="40">
        <v>53.28</v>
      </c>
      <c r="S190" s="40">
        <v>0</v>
      </c>
      <c r="T190" s="40">
        <v>0</v>
      </c>
      <c r="U190" s="40">
        <v>0</v>
      </c>
      <c r="V190" s="40">
        <v>710.5</v>
      </c>
      <c r="W190" s="40">
        <v>0</v>
      </c>
      <c r="X190" s="40">
        <v>0</v>
      </c>
      <c r="Y190" s="40">
        <v>0</v>
      </c>
      <c r="Z190" s="40">
        <v>0</v>
      </c>
      <c r="AA190" s="40">
        <v>26.42</v>
      </c>
      <c r="AB190" s="40">
        <v>142.1</v>
      </c>
      <c r="AC190" s="40">
        <v>41.21</v>
      </c>
      <c r="AD190" s="40">
        <v>263</v>
      </c>
      <c r="AE190" s="49">
        <f t="shared" si="46"/>
        <v>0</v>
      </c>
      <c r="AF190" s="49">
        <f t="shared" si="47"/>
        <v>0</v>
      </c>
      <c r="AG190" t="s">
        <v>253</v>
      </c>
      <c r="AH190">
        <v>710.5</v>
      </c>
      <c r="AI190">
        <v>56.84</v>
      </c>
      <c r="AJ190" s="49">
        <f t="shared" si="48"/>
        <v>0</v>
      </c>
      <c r="AK190" s="49">
        <f t="shared" si="49"/>
        <v>0</v>
      </c>
      <c r="AL190" t="s">
        <v>253</v>
      </c>
      <c r="AM190" s="81">
        <v>710.5</v>
      </c>
      <c r="AN190" s="81">
        <v>53.28</v>
      </c>
      <c r="AO190" s="81">
        <v>0</v>
      </c>
      <c r="AP190" s="81">
        <v>0</v>
      </c>
    </row>
    <row r="191" spans="1:42" ht="15" customHeight="1">
      <c r="A191" s="38" t="s">
        <v>254</v>
      </c>
      <c r="B191" s="38" t="s">
        <v>68</v>
      </c>
      <c r="C191" s="38" t="s">
        <v>65</v>
      </c>
      <c r="D191" s="38" t="s">
        <v>66</v>
      </c>
      <c r="E191" s="39">
        <v>3551.91</v>
      </c>
      <c r="F191" s="39">
        <v>0</v>
      </c>
      <c r="G191" s="39">
        <v>0</v>
      </c>
      <c r="H191" s="40">
        <v>0</v>
      </c>
      <c r="I191" s="40">
        <v>0</v>
      </c>
      <c r="J191" s="40">
        <v>284.14999999999998</v>
      </c>
      <c r="K191" s="40">
        <v>0</v>
      </c>
      <c r="L191" s="40">
        <v>0</v>
      </c>
      <c r="M191" s="40">
        <v>0</v>
      </c>
      <c r="N191" s="40">
        <v>0</v>
      </c>
      <c r="O191" s="40">
        <v>3551.91</v>
      </c>
      <c r="P191" s="40">
        <v>0</v>
      </c>
      <c r="Q191" s="40">
        <v>0</v>
      </c>
      <c r="R191" s="40">
        <v>314.81</v>
      </c>
      <c r="S191" s="40">
        <v>0</v>
      </c>
      <c r="T191" s="40">
        <v>0</v>
      </c>
      <c r="U191" s="40">
        <v>0</v>
      </c>
      <c r="V191" s="40">
        <v>3551.91</v>
      </c>
      <c r="W191" s="40">
        <v>0</v>
      </c>
      <c r="X191" s="40">
        <v>0</v>
      </c>
      <c r="Y191" s="40">
        <v>0</v>
      </c>
      <c r="Z191" s="40">
        <v>0</v>
      </c>
      <c r="AA191" s="40">
        <v>132.06</v>
      </c>
      <c r="AB191" s="40">
        <v>710.38</v>
      </c>
      <c r="AC191" s="40">
        <v>206.01</v>
      </c>
      <c r="AD191" s="40">
        <v>1363.26</v>
      </c>
      <c r="AE191" s="49">
        <f t="shared" si="46"/>
        <v>0</v>
      </c>
      <c r="AF191" s="49">
        <f t="shared" si="47"/>
        <v>0</v>
      </c>
      <c r="AG191" t="s">
        <v>254</v>
      </c>
      <c r="AH191" s="55">
        <v>3551.91</v>
      </c>
      <c r="AI191">
        <v>284.14999999999998</v>
      </c>
      <c r="AJ191" s="49">
        <f t="shared" si="48"/>
        <v>0</v>
      </c>
      <c r="AK191" s="49">
        <f t="shared" si="49"/>
        <v>0</v>
      </c>
      <c r="AL191" t="s">
        <v>254</v>
      </c>
      <c r="AM191" s="81">
        <v>3551.91</v>
      </c>
      <c r="AN191" s="81">
        <v>314.81</v>
      </c>
      <c r="AO191" s="81">
        <v>0</v>
      </c>
      <c r="AP191" s="81">
        <v>0</v>
      </c>
    </row>
    <row r="192" spans="1:42" ht="15" customHeight="1">
      <c r="A192" s="38" t="s">
        <v>255</v>
      </c>
      <c r="B192" s="38" t="s">
        <v>92</v>
      </c>
      <c r="C192" s="38" t="s">
        <v>65</v>
      </c>
      <c r="D192" s="38" t="s">
        <v>66</v>
      </c>
      <c r="E192" s="39">
        <v>3858.25</v>
      </c>
      <c r="F192" s="39">
        <v>0</v>
      </c>
      <c r="G192" s="39">
        <v>0</v>
      </c>
      <c r="H192" s="40">
        <v>0</v>
      </c>
      <c r="I192" s="40">
        <v>0</v>
      </c>
      <c r="J192" s="40">
        <v>308.66000000000003</v>
      </c>
      <c r="K192" s="40">
        <v>0</v>
      </c>
      <c r="L192" s="40">
        <v>0</v>
      </c>
      <c r="M192" s="40">
        <v>0</v>
      </c>
      <c r="N192" s="40">
        <v>0</v>
      </c>
      <c r="O192" s="40">
        <v>3858.25</v>
      </c>
      <c r="P192" s="40">
        <v>0</v>
      </c>
      <c r="Q192" s="40">
        <v>0</v>
      </c>
      <c r="R192" s="40">
        <v>351.57</v>
      </c>
      <c r="S192" s="40">
        <v>0</v>
      </c>
      <c r="T192" s="40">
        <v>0</v>
      </c>
      <c r="U192" s="40">
        <v>0</v>
      </c>
      <c r="V192" s="40">
        <v>3858.25</v>
      </c>
      <c r="W192" s="40">
        <v>0</v>
      </c>
      <c r="X192" s="40">
        <v>0</v>
      </c>
      <c r="Y192" s="40">
        <v>0</v>
      </c>
      <c r="Z192" s="40">
        <v>0</v>
      </c>
      <c r="AA192" s="40">
        <v>143.44999999999999</v>
      </c>
      <c r="AB192" s="40">
        <v>771.65</v>
      </c>
      <c r="AC192" s="40">
        <v>223.78</v>
      </c>
      <c r="AD192" s="40">
        <v>1490.44</v>
      </c>
      <c r="AE192" s="49">
        <f t="shared" si="46"/>
        <v>0</v>
      </c>
      <c r="AF192" s="49">
        <f t="shared" si="47"/>
        <v>0</v>
      </c>
      <c r="AG192" t="s">
        <v>255</v>
      </c>
      <c r="AH192" s="55">
        <v>3858.25</v>
      </c>
      <c r="AI192">
        <v>308.66000000000003</v>
      </c>
      <c r="AJ192" s="49">
        <f t="shared" si="48"/>
        <v>0</v>
      </c>
      <c r="AK192" s="49">
        <f t="shared" si="49"/>
        <v>0</v>
      </c>
      <c r="AL192" t="s">
        <v>255</v>
      </c>
      <c r="AM192" s="81">
        <v>3858.25</v>
      </c>
      <c r="AN192" s="81">
        <v>351.57</v>
      </c>
      <c r="AO192" s="81">
        <v>0</v>
      </c>
      <c r="AP192" s="81">
        <v>0</v>
      </c>
    </row>
    <row r="193" spans="1:42" ht="15" customHeight="1">
      <c r="A193" s="38" t="s">
        <v>256</v>
      </c>
      <c r="B193" s="38" t="s">
        <v>87</v>
      </c>
      <c r="C193" s="38" t="s">
        <v>65</v>
      </c>
      <c r="D193" s="38" t="s">
        <v>66</v>
      </c>
      <c r="E193" s="39">
        <v>2925.06</v>
      </c>
      <c r="F193" s="39">
        <v>0</v>
      </c>
      <c r="G193" s="39">
        <v>0</v>
      </c>
      <c r="H193" s="40">
        <v>0</v>
      </c>
      <c r="I193" s="40">
        <v>0</v>
      </c>
      <c r="J193" s="40">
        <v>234</v>
      </c>
      <c r="K193" s="40">
        <v>0</v>
      </c>
      <c r="L193" s="40">
        <v>0</v>
      </c>
      <c r="M193" s="40">
        <v>0</v>
      </c>
      <c r="N193" s="40">
        <v>0</v>
      </c>
      <c r="O193" s="40">
        <v>2925.06</v>
      </c>
      <c r="P193" s="40">
        <v>0</v>
      </c>
      <c r="Q193" s="40">
        <v>0</v>
      </c>
      <c r="R193" s="40">
        <v>239.59</v>
      </c>
      <c r="S193" s="40">
        <v>0</v>
      </c>
      <c r="T193" s="40">
        <v>0</v>
      </c>
      <c r="U193" s="40">
        <v>0</v>
      </c>
      <c r="V193" s="40">
        <v>2925.06</v>
      </c>
      <c r="W193" s="40">
        <v>0</v>
      </c>
      <c r="X193" s="40">
        <v>0</v>
      </c>
      <c r="Y193" s="40">
        <v>0</v>
      </c>
      <c r="Z193" s="40">
        <v>0</v>
      </c>
      <c r="AA193" s="40">
        <v>108.75</v>
      </c>
      <c r="AB193" s="40">
        <v>585.01</v>
      </c>
      <c r="AC193" s="40">
        <v>169.65</v>
      </c>
      <c r="AD193" s="40">
        <v>1103.01</v>
      </c>
      <c r="AE193" s="49">
        <f t="shared" si="46"/>
        <v>0</v>
      </c>
      <c r="AF193" s="49">
        <f t="shared" si="47"/>
        <v>0</v>
      </c>
      <c r="AG193" t="s">
        <v>256</v>
      </c>
      <c r="AH193" s="55">
        <v>2925.06</v>
      </c>
      <c r="AI193">
        <v>234</v>
      </c>
      <c r="AJ193" s="49">
        <f t="shared" si="48"/>
        <v>0</v>
      </c>
      <c r="AK193" s="49">
        <f t="shared" si="49"/>
        <v>0</v>
      </c>
      <c r="AL193" t="s">
        <v>256</v>
      </c>
      <c r="AM193" s="81">
        <v>2925.06</v>
      </c>
      <c r="AN193" s="81">
        <v>239.59</v>
      </c>
      <c r="AO193" s="81">
        <v>0</v>
      </c>
      <c r="AP193" s="81">
        <v>0</v>
      </c>
    </row>
    <row r="194" spans="1:42" ht="15" customHeight="1">
      <c r="A194" s="38" t="s">
        <v>257</v>
      </c>
      <c r="B194" s="38" t="s">
        <v>68</v>
      </c>
      <c r="C194" s="38" t="s">
        <v>65</v>
      </c>
      <c r="D194" s="38" t="s">
        <v>66</v>
      </c>
      <c r="E194" s="39">
        <v>4102.82</v>
      </c>
      <c r="F194" s="39">
        <v>0</v>
      </c>
      <c r="G194" s="39">
        <v>0</v>
      </c>
      <c r="H194" s="40">
        <v>0</v>
      </c>
      <c r="I194" s="40">
        <v>0</v>
      </c>
      <c r="J194" s="40">
        <v>328.23</v>
      </c>
      <c r="K194" s="40">
        <v>0</v>
      </c>
      <c r="L194" s="40">
        <v>0</v>
      </c>
      <c r="M194" s="40">
        <v>0</v>
      </c>
      <c r="N194" s="40">
        <v>0</v>
      </c>
      <c r="O194" s="40">
        <v>4102.82</v>
      </c>
      <c r="P194" s="40">
        <v>0</v>
      </c>
      <c r="Q194" s="40">
        <v>0</v>
      </c>
      <c r="R194" s="40">
        <v>380.92</v>
      </c>
      <c r="S194" s="40">
        <v>0</v>
      </c>
      <c r="T194" s="40">
        <v>0</v>
      </c>
      <c r="U194" s="40">
        <v>0</v>
      </c>
      <c r="V194" s="40">
        <v>4102.82</v>
      </c>
      <c r="W194" s="40">
        <v>0</v>
      </c>
      <c r="X194" s="40">
        <v>0</v>
      </c>
      <c r="Y194" s="40">
        <v>0</v>
      </c>
      <c r="Z194" s="40">
        <v>0</v>
      </c>
      <c r="AA194" s="40">
        <v>152.54</v>
      </c>
      <c r="AB194" s="40">
        <v>820.56</v>
      </c>
      <c r="AC194" s="40">
        <v>237.96</v>
      </c>
      <c r="AD194" s="40">
        <v>1591.99</v>
      </c>
      <c r="AE194" s="49">
        <f t="shared" si="46"/>
        <v>0</v>
      </c>
      <c r="AF194" s="49">
        <f t="shared" si="47"/>
        <v>9.9999999999909051E-3</v>
      </c>
      <c r="AG194" t="s">
        <v>257</v>
      </c>
      <c r="AH194" s="55">
        <v>4102.82</v>
      </c>
      <c r="AI194">
        <v>328.22</v>
      </c>
      <c r="AJ194" s="49">
        <f t="shared" si="48"/>
        <v>0</v>
      </c>
      <c r="AK194" s="49">
        <f t="shared" si="49"/>
        <v>0</v>
      </c>
      <c r="AL194" t="s">
        <v>257</v>
      </c>
      <c r="AM194" s="81">
        <v>4102.82</v>
      </c>
      <c r="AN194" s="81">
        <v>380.92</v>
      </c>
      <c r="AO194" s="81">
        <v>0</v>
      </c>
      <c r="AP194" s="81">
        <v>0</v>
      </c>
    </row>
    <row r="195" spans="1:42" ht="15" customHeight="1">
      <c r="A195" s="38" t="s">
        <v>258</v>
      </c>
      <c r="B195" s="38" t="s">
        <v>113</v>
      </c>
      <c r="C195" s="38" t="s">
        <v>65</v>
      </c>
      <c r="D195" s="38" t="s">
        <v>66</v>
      </c>
      <c r="E195" s="39">
        <v>3927.39</v>
      </c>
      <c r="F195" s="39">
        <v>0</v>
      </c>
      <c r="G195" s="39">
        <v>0</v>
      </c>
      <c r="H195" s="40">
        <v>0</v>
      </c>
      <c r="I195" s="40">
        <v>0</v>
      </c>
      <c r="J195" s="40">
        <v>314.19</v>
      </c>
      <c r="K195" s="40">
        <v>0</v>
      </c>
      <c r="L195" s="40">
        <v>0</v>
      </c>
      <c r="M195" s="40">
        <v>0</v>
      </c>
      <c r="N195" s="40">
        <v>0</v>
      </c>
      <c r="O195" s="40">
        <v>3927.39</v>
      </c>
      <c r="P195" s="40">
        <v>0</v>
      </c>
      <c r="Q195" s="40">
        <v>0</v>
      </c>
      <c r="R195" s="40">
        <v>359.87</v>
      </c>
      <c r="S195" s="40">
        <v>0</v>
      </c>
      <c r="T195" s="40">
        <v>0</v>
      </c>
      <c r="U195" s="40">
        <v>0</v>
      </c>
      <c r="V195" s="40">
        <v>3927.39</v>
      </c>
      <c r="W195" s="40">
        <v>0</v>
      </c>
      <c r="X195" s="40">
        <v>0</v>
      </c>
      <c r="Y195" s="40">
        <v>0</v>
      </c>
      <c r="Z195" s="40">
        <v>0</v>
      </c>
      <c r="AA195" s="40">
        <v>146.02000000000001</v>
      </c>
      <c r="AB195" s="40">
        <v>785.48</v>
      </c>
      <c r="AC195" s="40">
        <v>227.79</v>
      </c>
      <c r="AD195" s="40">
        <v>1519.15</v>
      </c>
      <c r="AE195" s="49">
        <f t="shared" si="46"/>
        <v>0</v>
      </c>
      <c r="AF195" s="49">
        <f t="shared" si="47"/>
        <v>0</v>
      </c>
      <c r="AG195" t="s">
        <v>258</v>
      </c>
      <c r="AH195" s="55">
        <v>3927.39</v>
      </c>
      <c r="AI195">
        <v>314.19</v>
      </c>
      <c r="AJ195" s="49">
        <f t="shared" si="48"/>
        <v>0</v>
      </c>
      <c r="AK195" s="49">
        <f t="shared" si="49"/>
        <v>0</v>
      </c>
      <c r="AL195" t="s">
        <v>258</v>
      </c>
      <c r="AM195" s="81">
        <v>3927.39</v>
      </c>
      <c r="AN195" s="81">
        <v>359.87</v>
      </c>
      <c r="AO195" s="81">
        <v>0</v>
      </c>
      <c r="AP195" s="81">
        <v>0</v>
      </c>
    </row>
    <row r="196" spans="1:42" ht="15" customHeight="1">
      <c r="A196" s="38" t="s">
        <v>259</v>
      </c>
      <c r="B196" s="38" t="s">
        <v>134</v>
      </c>
      <c r="C196" s="38" t="s">
        <v>82</v>
      </c>
      <c r="D196" s="38" t="s">
        <v>66</v>
      </c>
      <c r="E196" s="39">
        <v>1023.49</v>
      </c>
      <c r="F196" s="39">
        <v>0</v>
      </c>
      <c r="G196" s="39">
        <v>0</v>
      </c>
      <c r="H196" s="40">
        <v>583.33000000000004</v>
      </c>
      <c r="I196" s="40">
        <v>0</v>
      </c>
      <c r="J196" s="40">
        <v>81.88</v>
      </c>
      <c r="K196" s="40">
        <v>0</v>
      </c>
      <c r="L196" s="40">
        <v>0</v>
      </c>
      <c r="M196" s="40">
        <v>46.67</v>
      </c>
      <c r="N196" s="40">
        <v>0</v>
      </c>
      <c r="O196" s="40">
        <v>1023.49</v>
      </c>
      <c r="P196" s="40">
        <v>583.33000000000004</v>
      </c>
      <c r="Q196" s="40">
        <v>0</v>
      </c>
      <c r="R196" s="40">
        <v>76.760000000000005</v>
      </c>
      <c r="S196" s="40">
        <v>43.74</v>
      </c>
      <c r="T196" s="40">
        <v>0</v>
      </c>
      <c r="U196" s="40">
        <v>0</v>
      </c>
      <c r="V196" s="40">
        <v>625.76</v>
      </c>
      <c r="W196" s="40">
        <v>0</v>
      </c>
      <c r="X196" s="40">
        <v>0</v>
      </c>
      <c r="Y196" s="40">
        <v>0</v>
      </c>
      <c r="Z196" s="40">
        <v>0</v>
      </c>
      <c r="AA196" s="40">
        <v>59.74</v>
      </c>
      <c r="AB196" s="40">
        <v>321.36</v>
      </c>
      <c r="AC196" s="40">
        <v>93.2</v>
      </c>
      <c r="AD196" s="40">
        <v>594.79999999999995</v>
      </c>
      <c r="AE196" s="49">
        <f t="shared" si="46"/>
        <v>0</v>
      </c>
      <c r="AF196" s="49">
        <f t="shared" si="47"/>
        <v>2.0000000000010232E-2</v>
      </c>
      <c r="AG196" t="s">
        <v>259</v>
      </c>
      <c r="AH196" s="55">
        <v>1606.82</v>
      </c>
      <c r="AI196">
        <v>128.53</v>
      </c>
      <c r="AJ196" s="49">
        <f t="shared" si="48"/>
        <v>0</v>
      </c>
      <c r="AK196" s="49">
        <f t="shared" si="49"/>
        <v>0</v>
      </c>
      <c r="AL196" t="s">
        <v>259</v>
      </c>
      <c r="AM196" s="81">
        <v>1023.49</v>
      </c>
      <c r="AN196" s="81">
        <v>76.760000000000005</v>
      </c>
      <c r="AO196" s="81">
        <v>583.33000000000004</v>
      </c>
      <c r="AP196" s="81">
        <v>43.74</v>
      </c>
    </row>
    <row r="197" spans="1:42" ht="15" customHeight="1">
      <c r="A197" s="38" t="s">
        <v>260</v>
      </c>
      <c r="B197" s="38" t="s">
        <v>134</v>
      </c>
      <c r="C197" s="38" t="s">
        <v>65</v>
      </c>
      <c r="D197" s="38" t="s">
        <v>66</v>
      </c>
      <c r="E197" s="39">
        <v>1250.97</v>
      </c>
      <c r="F197" s="39">
        <v>0</v>
      </c>
      <c r="G197" s="39">
        <v>0</v>
      </c>
      <c r="H197" s="40">
        <v>0</v>
      </c>
      <c r="I197" s="40">
        <v>0</v>
      </c>
      <c r="J197" s="40">
        <v>100.08</v>
      </c>
      <c r="K197" s="40">
        <v>0</v>
      </c>
      <c r="L197" s="40">
        <v>0</v>
      </c>
      <c r="M197" s="40">
        <v>0</v>
      </c>
      <c r="N197" s="40">
        <v>0</v>
      </c>
      <c r="O197" s="40">
        <v>1250.97</v>
      </c>
      <c r="P197" s="40">
        <v>0</v>
      </c>
      <c r="Q197" s="40">
        <v>0</v>
      </c>
      <c r="R197" s="40">
        <v>93.82</v>
      </c>
      <c r="S197" s="40">
        <v>0</v>
      </c>
      <c r="T197" s="40">
        <v>0</v>
      </c>
      <c r="U197" s="40">
        <v>0</v>
      </c>
      <c r="V197" s="40">
        <v>1250.97</v>
      </c>
      <c r="W197" s="40">
        <v>0</v>
      </c>
      <c r="X197" s="40">
        <v>0</v>
      </c>
      <c r="Y197" s="40">
        <v>0</v>
      </c>
      <c r="Z197" s="40">
        <v>0</v>
      </c>
      <c r="AA197" s="40">
        <v>46.51</v>
      </c>
      <c r="AB197" s="40">
        <v>250.19</v>
      </c>
      <c r="AC197" s="40">
        <v>72.56</v>
      </c>
      <c r="AD197" s="40">
        <v>463.08</v>
      </c>
      <c r="AE197" s="49">
        <f t="shared" si="46"/>
        <v>0</v>
      </c>
      <c r="AF197" s="49">
        <f t="shared" si="47"/>
        <v>1.0000000000005116E-2</v>
      </c>
      <c r="AG197" t="s">
        <v>260</v>
      </c>
      <c r="AH197" s="55">
        <v>1250.97</v>
      </c>
      <c r="AI197">
        <v>100.07</v>
      </c>
      <c r="AJ197" s="49">
        <f t="shared" si="48"/>
        <v>0</v>
      </c>
      <c r="AK197" s="49">
        <f t="shared" si="49"/>
        <v>0</v>
      </c>
      <c r="AL197" t="s">
        <v>260</v>
      </c>
      <c r="AM197" s="81">
        <v>1250.97</v>
      </c>
      <c r="AN197" s="81">
        <v>93.82</v>
      </c>
      <c r="AO197" s="81">
        <v>0</v>
      </c>
      <c r="AP197" s="81">
        <v>0</v>
      </c>
    </row>
    <row r="198" spans="1:42" ht="15" customHeight="1">
      <c r="A198" s="38" t="s">
        <v>261</v>
      </c>
      <c r="B198" s="38" t="s">
        <v>84</v>
      </c>
      <c r="C198" s="38" t="s">
        <v>99</v>
      </c>
      <c r="D198" s="38" t="s">
        <v>66</v>
      </c>
      <c r="E198" s="39">
        <v>71.33</v>
      </c>
      <c r="F198" s="39">
        <v>0</v>
      </c>
      <c r="G198" s="39">
        <v>0</v>
      </c>
      <c r="H198" s="40">
        <v>0</v>
      </c>
      <c r="I198" s="40">
        <v>0</v>
      </c>
      <c r="J198" s="40">
        <v>5.71</v>
      </c>
      <c r="K198" s="40">
        <v>0</v>
      </c>
      <c r="L198" s="40">
        <v>0</v>
      </c>
      <c r="M198" s="40">
        <v>0</v>
      </c>
      <c r="N198" s="40">
        <v>0</v>
      </c>
      <c r="O198" s="40">
        <v>71.33</v>
      </c>
      <c r="P198" s="40">
        <v>0</v>
      </c>
      <c r="Q198" s="40">
        <v>0</v>
      </c>
      <c r="R198" s="40">
        <v>5.34</v>
      </c>
      <c r="S198" s="40">
        <v>0</v>
      </c>
      <c r="T198" s="40">
        <v>0</v>
      </c>
      <c r="U198" s="40">
        <v>0</v>
      </c>
      <c r="V198" s="40">
        <v>71.33</v>
      </c>
      <c r="W198" s="40">
        <v>0</v>
      </c>
      <c r="X198" s="40">
        <v>0</v>
      </c>
      <c r="Y198" s="40">
        <v>0</v>
      </c>
      <c r="Z198" s="40">
        <v>0</v>
      </c>
      <c r="AA198" s="40">
        <v>2.65</v>
      </c>
      <c r="AB198" s="40">
        <v>14.27</v>
      </c>
      <c r="AC198" s="40">
        <v>4.1399999999999997</v>
      </c>
      <c r="AD198" s="40">
        <v>26.4</v>
      </c>
      <c r="AE198" s="49">
        <f t="shared" si="46"/>
        <v>0</v>
      </c>
      <c r="AF198" s="49">
        <f t="shared" si="47"/>
        <v>9.9999999999997868E-3</v>
      </c>
      <c r="AG198" t="s">
        <v>261</v>
      </c>
      <c r="AH198">
        <v>71.33</v>
      </c>
      <c r="AI198">
        <v>5.7</v>
      </c>
      <c r="AJ198" s="49">
        <f t="shared" si="48"/>
        <v>0</v>
      </c>
      <c r="AK198" s="49">
        <f t="shared" si="49"/>
        <v>0</v>
      </c>
      <c r="AL198" t="s">
        <v>261</v>
      </c>
      <c r="AM198" s="81">
        <v>71.33</v>
      </c>
      <c r="AN198" s="81">
        <v>5.34</v>
      </c>
      <c r="AO198" s="81">
        <v>0</v>
      </c>
      <c r="AP198" s="81">
        <v>0</v>
      </c>
    </row>
    <row r="199" spans="1:42" ht="15" customHeight="1">
      <c r="A199" s="38" t="s">
        <v>262</v>
      </c>
      <c r="B199" s="38" t="s">
        <v>152</v>
      </c>
      <c r="C199" s="38" t="s">
        <v>65</v>
      </c>
      <c r="D199" s="38" t="s">
        <v>66</v>
      </c>
      <c r="E199" s="39">
        <v>2251.86</v>
      </c>
      <c r="F199" s="39">
        <v>0</v>
      </c>
      <c r="G199" s="39">
        <v>0</v>
      </c>
      <c r="H199" s="40">
        <v>0</v>
      </c>
      <c r="I199" s="40">
        <v>0</v>
      </c>
      <c r="J199" s="40">
        <v>180.15</v>
      </c>
      <c r="K199" s="40">
        <v>0</v>
      </c>
      <c r="L199" s="40">
        <v>0</v>
      </c>
      <c r="M199" s="40">
        <v>0</v>
      </c>
      <c r="N199" s="40">
        <v>0</v>
      </c>
      <c r="O199" s="40">
        <v>2251.86</v>
      </c>
      <c r="P199" s="40">
        <v>0</v>
      </c>
      <c r="Q199" s="40">
        <v>0</v>
      </c>
      <c r="R199" s="40">
        <v>178.34</v>
      </c>
      <c r="S199" s="40">
        <v>0</v>
      </c>
      <c r="T199" s="40">
        <v>0</v>
      </c>
      <c r="U199" s="40">
        <v>0</v>
      </c>
      <c r="V199" s="40">
        <v>2251.86</v>
      </c>
      <c r="W199" s="40">
        <v>0</v>
      </c>
      <c r="X199" s="40">
        <v>0</v>
      </c>
      <c r="Y199" s="40">
        <v>0</v>
      </c>
      <c r="Z199" s="40">
        <v>0</v>
      </c>
      <c r="AA199" s="40">
        <v>83.72</v>
      </c>
      <c r="AB199" s="40">
        <v>450.37</v>
      </c>
      <c r="AC199" s="40">
        <v>130.61000000000001</v>
      </c>
      <c r="AD199" s="40">
        <v>843.04</v>
      </c>
      <c r="AE199" s="49">
        <f t="shared" si="46"/>
        <v>0</v>
      </c>
      <c r="AF199" s="49">
        <f t="shared" si="47"/>
        <v>1.0000000000019327E-2</v>
      </c>
      <c r="AG199" t="s">
        <v>262</v>
      </c>
      <c r="AH199" s="55">
        <v>2251.86</v>
      </c>
      <c r="AI199">
        <v>180.14</v>
      </c>
      <c r="AJ199" s="49">
        <f t="shared" si="48"/>
        <v>0</v>
      </c>
      <c r="AK199" s="49">
        <f t="shared" si="49"/>
        <v>0</v>
      </c>
      <c r="AL199" t="s">
        <v>262</v>
      </c>
      <c r="AM199" s="81">
        <v>2251.86</v>
      </c>
      <c r="AN199" s="81">
        <v>178.34</v>
      </c>
      <c r="AO199" s="81">
        <v>0</v>
      </c>
      <c r="AP199" s="81">
        <v>0</v>
      </c>
    </row>
    <row r="200" spans="1:42" ht="15" customHeight="1">
      <c r="A200" s="38" t="s">
        <v>263</v>
      </c>
      <c r="B200" s="38" t="s">
        <v>152</v>
      </c>
      <c r="C200" s="38" t="s">
        <v>65</v>
      </c>
      <c r="D200" s="38" t="s">
        <v>66</v>
      </c>
      <c r="E200" s="39">
        <v>2070.61</v>
      </c>
      <c r="F200" s="39">
        <v>0</v>
      </c>
      <c r="G200" s="39">
        <v>0</v>
      </c>
      <c r="H200" s="40">
        <v>0</v>
      </c>
      <c r="I200" s="40">
        <v>0</v>
      </c>
      <c r="J200" s="40">
        <v>165.65</v>
      </c>
      <c r="K200" s="40">
        <v>0</v>
      </c>
      <c r="L200" s="40">
        <v>0</v>
      </c>
      <c r="M200" s="40">
        <v>0</v>
      </c>
      <c r="N200" s="40">
        <v>0</v>
      </c>
      <c r="O200" s="40">
        <v>2070.61</v>
      </c>
      <c r="P200" s="40">
        <v>0</v>
      </c>
      <c r="Q200" s="40">
        <v>0</v>
      </c>
      <c r="R200" s="40">
        <v>162.03</v>
      </c>
      <c r="S200" s="40">
        <v>0</v>
      </c>
      <c r="T200" s="40">
        <v>0</v>
      </c>
      <c r="U200" s="40">
        <v>0</v>
      </c>
      <c r="V200" s="40">
        <v>2070.61</v>
      </c>
      <c r="W200" s="40">
        <v>0</v>
      </c>
      <c r="X200" s="40">
        <v>0</v>
      </c>
      <c r="Y200" s="40">
        <v>0</v>
      </c>
      <c r="Z200" s="40">
        <v>0</v>
      </c>
      <c r="AA200" s="40">
        <v>76.98</v>
      </c>
      <c r="AB200" s="40">
        <v>414.12</v>
      </c>
      <c r="AC200" s="40">
        <v>120.1</v>
      </c>
      <c r="AD200" s="40">
        <v>773.23</v>
      </c>
      <c r="AE200" s="49">
        <f t="shared" si="46"/>
        <v>0</v>
      </c>
      <c r="AF200" s="49">
        <f t="shared" si="47"/>
        <v>1.0000000000019327E-2</v>
      </c>
      <c r="AG200" t="s">
        <v>263</v>
      </c>
      <c r="AH200" s="55">
        <v>2070.61</v>
      </c>
      <c r="AI200">
        <v>165.64</v>
      </c>
      <c r="AJ200" s="49">
        <f t="shared" si="48"/>
        <v>0</v>
      </c>
      <c r="AK200" s="49">
        <f t="shared" si="49"/>
        <v>0</v>
      </c>
      <c r="AL200" t="s">
        <v>263</v>
      </c>
      <c r="AM200" s="81">
        <v>2070.61</v>
      </c>
      <c r="AN200" s="81">
        <v>162.03</v>
      </c>
      <c r="AO200" s="81">
        <v>0</v>
      </c>
      <c r="AP200" s="81">
        <v>0</v>
      </c>
    </row>
    <row r="201" spans="1:42" ht="15" customHeight="1">
      <c r="A201" s="38" t="s">
        <v>264</v>
      </c>
      <c r="B201" s="38" t="s">
        <v>96</v>
      </c>
      <c r="C201" s="38" t="s">
        <v>65</v>
      </c>
      <c r="D201" s="38" t="s">
        <v>66</v>
      </c>
      <c r="E201" s="39">
        <v>2135.0100000000002</v>
      </c>
      <c r="F201" s="39">
        <v>0</v>
      </c>
      <c r="G201" s="39">
        <v>0</v>
      </c>
      <c r="H201" s="40">
        <v>0</v>
      </c>
      <c r="I201" s="40">
        <v>0</v>
      </c>
      <c r="J201" s="40">
        <v>170.8</v>
      </c>
      <c r="K201" s="40">
        <v>0</v>
      </c>
      <c r="L201" s="40">
        <v>0</v>
      </c>
      <c r="M201" s="40">
        <v>0</v>
      </c>
      <c r="N201" s="40">
        <v>0</v>
      </c>
      <c r="O201" s="40">
        <v>2135.0100000000002</v>
      </c>
      <c r="P201" s="40">
        <v>0</v>
      </c>
      <c r="Q201" s="40">
        <v>0</v>
      </c>
      <c r="R201" s="40">
        <v>167.83</v>
      </c>
      <c r="S201" s="40">
        <v>0</v>
      </c>
      <c r="T201" s="40">
        <v>0</v>
      </c>
      <c r="U201" s="40">
        <v>0</v>
      </c>
      <c r="V201" s="40">
        <v>2135.0100000000002</v>
      </c>
      <c r="W201" s="40">
        <v>0</v>
      </c>
      <c r="X201" s="40">
        <v>0</v>
      </c>
      <c r="Y201" s="40">
        <v>0</v>
      </c>
      <c r="Z201" s="40">
        <v>0</v>
      </c>
      <c r="AA201" s="40">
        <v>79.38</v>
      </c>
      <c r="AB201" s="40">
        <v>427</v>
      </c>
      <c r="AC201" s="40">
        <v>123.83</v>
      </c>
      <c r="AD201" s="40">
        <v>798.04</v>
      </c>
      <c r="AE201" s="49">
        <f t="shared" si="46"/>
        <v>0</v>
      </c>
      <c r="AF201" s="49">
        <f t="shared" si="47"/>
        <v>0</v>
      </c>
      <c r="AG201" t="s">
        <v>264</v>
      </c>
      <c r="AH201" s="55">
        <v>2135.0100000000002</v>
      </c>
      <c r="AI201">
        <v>170.8</v>
      </c>
      <c r="AJ201" s="49">
        <f t="shared" si="48"/>
        <v>0</v>
      </c>
      <c r="AK201" s="49">
        <f t="shared" si="49"/>
        <v>0</v>
      </c>
      <c r="AL201" t="s">
        <v>264</v>
      </c>
      <c r="AM201" s="81">
        <v>2135.0100000000002</v>
      </c>
      <c r="AN201" s="81">
        <v>167.83</v>
      </c>
      <c r="AO201" s="81">
        <v>0</v>
      </c>
      <c r="AP201" s="81">
        <v>0</v>
      </c>
    </row>
    <row r="202" spans="1:42" ht="15" customHeight="1">
      <c r="A202" s="38" t="s">
        <v>265</v>
      </c>
      <c r="B202" s="38" t="s">
        <v>68</v>
      </c>
      <c r="C202" s="38" t="s">
        <v>65</v>
      </c>
      <c r="D202" s="38" t="s">
        <v>66</v>
      </c>
      <c r="E202" s="39">
        <v>6128.16</v>
      </c>
      <c r="F202" s="39">
        <v>0</v>
      </c>
      <c r="G202" s="39">
        <v>0</v>
      </c>
      <c r="H202" s="40">
        <v>0</v>
      </c>
      <c r="I202" s="40">
        <v>0</v>
      </c>
      <c r="J202" s="40">
        <v>490.25</v>
      </c>
      <c r="K202" s="40">
        <v>0</v>
      </c>
      <c r="L202" s="40">
        <v>0</v>
      </c>
      <c r="M202" s="40">
        <v>0</v>
      </c>
      <c r="N202" s="40">
        <v>0</v>
      </c>
      <c r="O202" s="40">
        <v>6128.16</v>
      </c>
      <c r="P202" s="40">
        <v>0</v>
      </c>
      <c r="Q202" s="40">
        <v>0</v>
      </c>
      <c r="R202" s="40">
        <v>659.44</v>
      </c>
      <c r="S202" s="40">
        <v>0</v>
      </c>
      <c r="T202" s="40">
        <v>0</v>
      </c>
      <c r="U202" s="40">
        <v>0</v>
      </c>
      <c r="V202" s="40">
        <v>6128.16</v>
      </c>
      <c r="W202" s="40">
        <v>0</v>
      </c>
      <c r="X202" s="40">
        <v>432.48</v>
      </c>
      <c r="Y202" s="40">
        <v>0</v>
      </c>
      <c r="Z202" s="40">
        <v>0</v>
      </c>
      <c r="AA202" s="40">
        <v>227.84</v>
      </c>
      <c r="AB202" s="40">
        <v>1225.6300000000001</v>
      </c>
      <c r="AC202" s="40">
        <v>355.43</v>
      </c>
      <c r="AD202" s="40">
        <v>2468.34</v>
      </c>
      <c r="AE202" s="49">
        <f t="shared" si="46"/>
        <v>0</v>
      </c>
      <c r="AF202" s="49">
        <f t="shared" si="47"/>
        <v>0</v>
      </c>
      <c r="AG202" t="s">
        <v>265</v>
      </c>
      <c r="AH202" s="55">
        <v>6128.16</v>
      </c>
      <c r="AI202">
        <v>490.25</v>
      </c>
      <c r="AJ202" s="49">
        <f t="shared" si="48"/>
        <v>0</v>
      </c>
      <c r="AK202" s="49">
        <f t="shared" si="49"/>
        <v>0</v>
      </c>
      <c r="AL202" t="s">
        <v>265</v>
      </c>
      <c r="AM202" s="81">
        <v>6128.16</v>
      </c>
      <c r="AN202" s="81">
        <v>659.44</v>
      </c>
      <c r="AO202" s="81">
        <v>0</v>
      </c>
      <c r="AP202" s="81">
        <v>0</v>
      </c>
    </row>
    <row r="203" spans="1:42" ht="15" customHeight="1">
      <c r="A203" s="38" t="s">
        <v>266</v>
      </c>
      <c r="B203" s="38" t="s">
        <v>68</v>
      </c>
      <c r="C203" s="38" t="s">
        <v>65</v>
      </c>
      <c r="D203" s="38" t="s">
        <v>66</v>
      </c>
      <c r="E203" s="39">
        <v>3743.33</v>
      </c>
      <c r="F203" s="39">
        <v>0</v>
      </c>
      <c r="G203" s="39">
        <v>0</v>
      </c>
      <c r="H203" s="40">
        <v>0</v>
      </c>
      <c r="I203" s="40">
        <v>0</v>
      </c>
      <c r="J203" s="40">
        <v>299.47000000000003</v>
      </c>
      <c r="K203" s="40">
        <v>0</v>
      </c>
      <c r="L203" s="40">
        <v>0</v>
      </c>
      <c r="M203" s="40">
        <v>0</v>
      </c>
      <c r="N203" s="40">
        <v>0</v>
      </c>
      <c r="O203" s="40">
        <v>3743.33</v>
      </c>
      <c r="P203" s="40">
        <v>0</v>
      </c>
      <c r="Q203" s="40">
        <v>0</v>
      </c>
      <c r="R203" s="40">
        <v>337.78</v>
      </c>
      <c r="S203" s="40">
        <v>0</v>
      </c>
      <c r="T203" s="40">
        <v>0</v>
      </c>
      <c r="U203" s="40">
        <v>0</v>
      </c>
      <c r="V203" s="40">
        <v>3743.33</v>
      </c>
      <c r="W203" s="40">
        <v>0</v>
      </c>
      <c r="X203" s="40">
        <v>0</v>
      </c>
      <c r="Y203" s="40">
        <v>0</v>
      </c>
      <c r="Z203" s="40">
        <v>0</v>
      </c>
      <c r="AA203" s="40">
        <v>139.16999999999999</v>
      </c>
      <c r="AB203" s="40">
        <v>748.67</v>
      </c>
      <c r="AC203" s="40">
        <v>217.11</v>
      </c>
      <c r="AD203" s="40">
        <v>1442.73</v>
      </c>
      <c r="AE203" s="49">
        <f t="shared" si="46"/>
        <v>0</v>
      </c>
      <c r="AF203" s="49">
        <f t="shared" si="47"/>
        <v>1.0000000000047748E-2</v>
      </c>
      <c r="AG203" t="s">
        <v>266</v>
      </c>
      <c r="AH203" s="55">
        <v>3743.33</v>
      </c>
      <c r="AI203">
        <v>299.45999999999998</v>
      </c>
      <c r="AJ203" s="49">
        <f t="shared" si="48"/>
        <v>0</v>
      </c>
      <c r="AK203" s="49">
        <f t="shared" si="49"/>
        <v>0</v>
      </c>
      <c r="AL203" t="s">
        <v>266</v>
      </c>
      <c r="AM203" s="81">
        <v>3743.33</v>
      </c>
      <c r="AN203" s="81">
        <v>337.78</v>
      </c>
      <c r="AO203" s="81">
        <v>0</v>
      </c>
      <c r="AP203" s="81">
        <v>0</v>
      </c>
    </row>
    <row r="204" spans="1:42" ht="15" customHeight="1">
      <c r="A204" s="38" t="s">
        <v>267</v>
      </c>
      <c r="B204" s="38" t="s">
        <v>68</v>
      </c>
      <c r="C204" s="38" t="s">
        <v>65</v>
      </c>
      <c r="D204" s="38" t="s">
        <v>66</v>
      </c>
      <c r="E204" s="39">
        <v>7347.45</v>
      </c>
      <c r="F204" s="39">
        <v>0</v>
      </c>
      <c r="G204" s="39">
        <v>0</v>
      </c>
      <c r="H204" s="40">
        <v>0</v>
      </c>
      <c r="I204" s="40">
        <v>0</v>
      </c>
      <c r="J204" s="40">
        <v>587.79999999999995</v>
      </c>
      <c r="K204" s="40">
        <v>0</v>
      </c>
      <c r="L204" s="40">
        <v>0</v>
      </c>
      <c r="M204" s="40">
        <v>0</v>
      </c>
      <c r="N204" s="40">
        <v>0</v>
      </c>
      <c r="O204" s="40">
        <v>7347.45</v>
      </c>
      <c r="P204" s="40">
        <v>0</v>
      </c>
      <c r="Q204" s="40">
        <v>0</v>
      </c>
      <c r="R204" s="40">
        <v>830.14</v>
      </c>
      <c r="S204" s="40">
        <v>0</v>
      </c>
      <c r="T204" s="40">
        <v>0</v>
      </c>
      <c r="U204" s="40">
        <v>0</v>
      </c>
      <c r="V204" s="40">
        <v>7347.45</v>
      </c>
      <c r="W204" s="40">
        <v>0</v>
      </c>
      <c r="X204" s="40">
        <v>883.18</v>
      </c>
      <c r="Y204" s="40">
        <v>0</v>
      </c>
      <c r="Z204" s="40">
        <v>0</v>
      </c>
      <c r="AA204" s="40">
        <v>273.17</v>
      </c>
      <c r="AB204" s="40">
        <v>1469.49</v>
      </c>
      <c r="AC204" s="40">
        <v>426.15</v>
      </c>
      <c r="AD204" s="40">
        <v>2998.95</v>
      </c>
      <c r="AE204" s="49">
        <f t="shared" si="46"/>
        <v>0</v>
      </c>
      <c r="AF204" s="49">
        <f t="shared" si="47"/>
        <v>9.9999999999909051E-3</v>
      </c>
      <c r="AG204" t="s">
        <v>267</v>
      </c>
      <c r="AH204" s="55">
        <v>7347.45</v>
      </c>
      <c r="AI204">
        <v>587.79</v>
      </c>
      <c r="AJ204" s="49">
        <f t="shared" si="48"/>
        <v>0</v>
      </c>
      <c r="AK204" s="49">
        <f t="shared" si="49"/>
        <v>0</v>
      </c>
      <c r="AL204" t="s">
        <v>267</v>
      </c>
      <c r="AM204" s="81">
        <v>7347.45</v>
      </c>
      <c r="AN204" s="81">
        <v>830.14</v>
      </c>
      <c r="AO204" s="81">
        <v>0</v>
      </c>
      <c r="AP204" s="81">
        <v>0</v>
      </c>
    </row>
    <row r="205" spans="1:42" ht="15" customHeight="1">
      <c r="A205" s="38" t="s">
        <v>268</v>
      </c>
      <c r="B205" s="38" t="s">
        <v>96</v>
      </c>
      <c r="C205" s="38" t="s">
        <v>65</v>
      </c>
      <c r="D205" s="38" t="s">
        <v>66</v>
      </c>
      <c r="E205" s="39">
        <v>2114.15</v>
      </c>
      <c r="F205" s="39">
        <v>0</v>
      </c>
      <c r="G205" s="39">
        <v>0</v>
      </c>
      <c r="H205" s="40">
        <v>0</v>
      </c>
      <c r="I205" s="40">
        <v>0</v>
      </c>
      <c r="J205" s="40">
        <v>169.13</v>
      </c>
      <c r="K205" s="40">
        <v>0</v>
      </c>
      <c r="L205" s="40">
        <v>0</v>
      </c>
      <c r="M205" s="40">
        <v>0</v>
      </c>
      <c r="N205" s="40">
        <v>0</v>
      </c>
      <c r="O205" s="40">
        <v>2114.15</v>
      </c>
      <c r="P205" s="40">
        <v>0</v>
      </c>
      <c r="Q205" s="40">
        <v>0</v>
      </c>
      <c r="R205" s="40">
        <v>165.95</v>
      </c>
      <c r="S205" s="40">
        <v>0</v>
      </c>
      <c r="T205" s="40">
        <v>0</v>
      </c>
      <c r="U205" s="40">
        <v>0</v>
      </c>
      <c r="V205" s="40">
        <v>2114.15</v>
      </c>
      <c r="W205" s="40">
        <v>0</v>
      </c>
      <c r="X205" s="40">
        <v>0</v>
      </c>
      <c r="Y205" s="40">
        <v>0</v>
      </c>
      <c r="Z205" s="40">
        <v>0</v>
      </c>
      <c r="AA205" s="40">
        <v>78.599999999999994</v>
      </c>
      <c r="AB205" s="40">
        <v>422.83</v>
      </c>
      <c r="AC205" s="40">
        <v>122.62</v>
      </c>
      <c r="AD205" s="40">
        <v>790</v>
      </c>
      <c r="AE205" s="49">
        <f t="shared" si="46"/>
        <v>0</v>
      </c>
      <c r="AF205" s="49">
        <f t="shared" si="47"/>
        <v>0</v>
      </c>
      <c r="AG205" t="s">
        <v>268</v>
      </c>
      <c r="AH205" s="55">
        <v>2114.15</v>
      </c>
      <c r="AI205">
        <v>169.13</v>
      </c>
      <c r="AJ205" s="49">
        <f t="shared" si="48"/>
        <v>0</v>
      </c>
      <c r="AK205" s="49">
        <f t="shared" si="49"/>
        <v>0</v>
      </c>
      <c r="AL205" t="s">
        <v>268</v>
      </c>
      <c r="AM205" s="81">
        <v>2114.15</v>
      </c>
      <c r="AN205" s="81">
        <v>165.95</v>
      </c>
      <c r="AO205" s="81">
        <v>0</v>
      </c>
      <c r="AP205" s="81">
        <v>0</v>
      </c>
    </row>
    <row r="206" spans="1:42" ht="15" customHeight="1">
      <c r="A206" s="38" t="s">
        <v>269</v>
      </c>
      <c r="B206" s="38" t="s">
        <v>68</v>
      </c>
      <c r="C206" s="38" t="s">
        <v>65</v>
      </c>
      <c r="D206" s="38" t="s">
        <v>66</v>
      </c>
      <c r="E206" s="39">
        <v>710.5</v>
      </c>
      <c r="F206" s="39">
        <v>0</v>
      </c>
      <c r="G206" s="39">
        <v>0</v>
      </c>
      <c r="H206" s="40">
        <v>0</v>
      </c>
      <c r="I206" s="40">
        <v>0</v>
      </c>
      <c r="J206" s="40">
        <v>56.84</v>
      </c>
      <c r="K206" s="40">
        <v>0</v>
      </c>
      <c r="L206" s="40">
        <v>0</v>
      </c>
      <c r="M206" s="40">
        <v>0</v>
      </c>
      <c r="N206" s="40">
        <v>0</v>
      </c>
      <c r="O206" s="40">
        <v>710.5</v>
      </c>
      <c r="P206" s="40">
        <v>0</v>
      </c>
      <c r="Q206" s="40">
        <v>0</v>
      </c>
      <c r="R206" s="40">
        <v>53.28</v>
      </c>
      <c r="S206" s="40">
        <v>0</v>
      </c>
      <c r="T206" s="40">
        <v>0</v>
      </c>
      <c r="U206" s="40">
        <v>0</v>
      </c>
      <c r="V206" s="40">
        <v>710.5</v>
      </c>
      <c r="W206" s="40">
        <v>0</v>
      </c>
      <c r="X206" s="40">
        <v>0</v>
      </c>
      <c r="Y206" s="40">
        <v>0</v>
      </c>
      <c r="Z206" s="40">
        <v>0</v>
      </c>
      <c r="AA206" s="40">
        <v>26.42</v>
      </c>
      <c r="AB206" s="40">
        <v>142.1</v>
      </c>
      <c r="AC206" s="40">
        <v>41.21</v>
      </c>
      <c r="AD206" s="40">
        <v>263</v>
      </c>
      <c r="AE206" s="49">
        <f t="shared" si="46"/>
        <v>0</v>
      </c>
      <c r="AF206" s="49">
        <f t="shared" si="47"/>
        <v>0</v>
      </c>
      <c r="AG206" t="s">
        <v>269</v>
      </c>
      <c r="AH206">
        <v>710.5</v>
      </c>
      <c r="AI206">
        <v>56.84</v>
      </c>
      <c r="AJ206" s="49">
        <f t="shared" si="48"/>
        <v>0</v>
      </c>
      <c r="AK206" s="49">
        <f t="shared" si="49"/>
        <v>0</v>
      </c>
      <c r="AL206" t="s">
        <v>269</v>
      </c>
      <c r="AM206" s="81">
        <v>710.5</v>
      </c>
      <c r="AN206" s="81">
        <v>53.28</v>
      </c>
      <c r="AO206" s="81">
        <v>0</v>
      </c>
      <c r="AP206" s="81">
        <v>0</v>
      </c>
    </row>
    <row r="207" spans="1:42" ht="15" customHeight="1">
      <c r="A207" s="38" t="s">
        <v>270</v>
      </c>
      <c r="B207" s="38" t="s">
        <v>68</v>
      </c>
      <c r="C207" s="38" t="s">
        <v>65</v>
      </c>
      <c r="D207" s="38" t="s">
        <v>66</v>
      </c>
      <c r="E207" s="39">
        <v>5863.66</v>
      </c>
      <c r="F207" s="39">
        <v>0</v>
      </c>
      <c r="G207" s="39">
        <v>0</v>
      </c>
      <c r="H207" s="40">
        <v>0</v>
      </c>
      <c r="I207" s="40">
        <v>0</v>
      </c>
      <c r="J207" s="40">
        <v>469.09</v>
      </c>
      <c r="K207" s="40">
        <v>0</v>
      </c>
      <c r="L207" s="40">
        <v>0</v>
      </c>
      <c r="M207" s="40">
        <v>0</v>
      </c>
      <c r="N207" s="40">
        <v>0</v>
      </c>
      <c r="O207" s="40">
        <v>5863.66</v>
      </c>
      <c r="P207" s="40">
        <v>0</v>
      </c>
      <c r="Q207" s="40">
        <v>0</v>
      </c>
      <c r="R207" s="40">
        <v>622.41</v>
      </c>
      <c r="S207" s="40">
        <v>0</v>
      </c>
      <c r="T207" s="40">
        <v>0</v>
      </c>
      <c r="U207" s="40">
        <v>0</v>
      </c>
      <c r="V207" s="40">
        <v>5863.66</v>
      </c>
      <c r="W207" s="40">
        <v>0</v>
      </c>
      <c r="X207" s="40">
        <v>334.71</v>
      </c>
      <c r="Y207" s="40">
        <v>0</v>
      </c>
      <c r="Z207" s="40">
        <v>0</v>
      </c>
      <c r="AA207" s="40">
        <v>218.01</v>
      </c>
      <c r="AB207" s="40">
        <v>1172.73</v>
      </c>
      <c r="AC207" s="40">
        <v>340.09</v>
      </c>
      <c r="AD207" s="40">
        <v>2353.2399999999998</v>
      </c>
      <c r="AE207" s="49">
        <f t="shared" si="46"/>
        <v>0</v>
      </c>
      <c r="AF207" s="49">
        <f t="shared" si="47"/>
        <v>0</v>
      </c>
      <c r="AG207" t="s">
        <v>270</v>
      </c>
      <c r="AH207" s="55">
        <v>5863.66</v>
      </c>
      <c r="AI207">
        <v>469.09</v>
      </c>
      <c r="AJ207" s="49">
        <f t="shared" si="48"/>
        <v>0</v>
      </c>
      <c r="AK207" s="49">
        <f t="shared" si="49"/>
        <v>0</v>
      </c>
      <c r="AL207" t="s">
        <v>270</v>
      </c>
      <c r="AM207" s="81">
        <v>5863.66</v>
      </c>
      <c r="AN207" s="81">
        <v>622.41</v>
      </c>
      <c r="AO207" s="81">
        <v>0</v>
      </c>
      <c r="AP207" s="81">
        <v>0</v>
      </c>
    </row>
    <row r="208" spans="1:42">
      <c r="A208" s="38" t="s">
        <v>271</v>
      </c>
      <c r="B208" s="38" t="s">
        <v>68</v>
      </c>
      <c r="C208" s="38" t="s">
        <v>65</v>
      </c>
      <c r="D208" s="38" t="s">
        <v>66</v>
      </c>
      <c r="E208" s="39">
        <v>2036.8</v>
      </c>
      <c r="F208" s="39">
        <v>0</v>
      </c>
      <c r="G208" s="39">
        <v>0</v>
      </c>
      <c r="H208" s="40">
        <v>0</v>
      </c>
      <c r="I208" s="40">
        <v>0</v>
      </c>
      <c r="J208" s="40">
        <v>162.94</v>
      </c>
      <c r="K208" s="40">
        <v>0</v>
      </c>
      <c r="L208" s="40">
        <v>0</v>
      </c>
      <c r="M208" s="40">
        <v>0</v>
      </c>
      <c r="N208" s="40">
        <v>0</v>
      </c>
      <c r="O208" s="40">
        <v>2036.8</v>
      </c>
      <c r="P208" s="40">
        <v>0</v>
      </c>
      <c r="Q208" s="40">
        <v>0</v>
      </c>
      <c r="R208" s="40">
        <v>158.99</v>
      </c>
      <c r="S208" s="40">
        <v>0</v>
      </c>
      <c r="T208" s="40">
        <v>0</v>
      </c>
      <c r="U208" s="40">
        <v>0</v>
      </c>
      <c r="V208" s="40">
        <v>2036.8</v>
      </c>
      <c r="W208" s="40">
        <v>0</v>
      </c>
      <c r="X208" s="40">
        <v>0</v>
      </c>
      <c r="Y208" s="40">
        <v>0</v>
      </c>
      <c r="Z208" s="40">
        <v>0</v>
      </c>
      <c r="AA208" s="40">
        <v>75.73</v>
      </c>
      <c r="AB208" s="40">
        <v>407.36</v>
      </c>
      <c r="AC208" s="40">
        <v>118.13</v>
      </c>
      <c r="AD208" s="40">
        <v>760.21</v>
      </c>
      <c r="AE208" s="49">
        <f t="shared" si="46"/>
        <v>0</v>
      </c>
      <c r="AF208" s="49">
        <f t="shared" si="47"/>
        <v>0</v>
      </c>
      <c r="AG208" t="s">
        <v>271</v>
      </c>
      <c r="AH208" s="55">
        <v>2036.8</v>
      </c>
      <c r="AI208">
        <v>162.94</v>
      </c>
      <c r="AJ208" s="49">
        <f t="shared" si="48"/>
        <v>0</v>
      </c>
      <c r="AK208" s="49">
        <f t="shared" si="49"/>
        <v>0</v>
      </c>
      <c r="AL208" t="s">
        <v>271</v>
      </c>
      <c r="AM208" s="81">
        <v>2036.8</v>
      </c>
      <c r="AN208" s="81">
        <v>158.99</v>
      </c>
      <c r="AO208" s="81">
        <v>0</v>
      </c>
      <c r="AP208" s="81">
        <v>0</v>
      </c>
    </row>
    <row r="209" spans="1:42">
      <c r="A209" s="38" t="s">
        <v>272</v>
      </c>
      <c r="B209" s="38" t="s">
        <v>68</v>
      </c>
      <c r="C209" s="38" t="s">
        <v>65</v>
      </c>
      <c r="D209" s="38" t="s">
        <v>66</v>
      </c>
      <c r="E209" s="39">
        <v>3853.83</v>
      </c>
      <c r="F209" s="39">
        <v>0</v>
      </c>
      <c r="G209" s="39">
        <v>0</v>
      </c>
      <c r="H209" s="40">
        <v>0</v>
      </c>
      <c r="I209" s="40">
        <v>0</v>
      </c>
      <c r="J209" s="40">
        <v>308.31</v>
      </c>
      <c r="K209" s="40">
        <v>0</v>
      </c>
      <c r="L209" s="40">
        <v>0</v>
      </c>
      <c r="M209" s="40">
        <v>0</v>
      </c>
      <c r="N209" s="40">
        <v>0</v>
      </c>
      <c r="O209" s="40">
        <v>3853.83</v>
      </c>
      <c r="P209" s="40">
        <v>0</v>
      </c>
      <c r="Q209" s="40">
        <v>0</v>
      </c>
      <c r="R209" s="40">
        <v>351.04</v>
      </c>
      <c r="S209" s="40">
        <v>0</v>
      </c>
      <c r="T209" s="40">
        <v>0</v>
      </c>
      <c r="U209" s="40">
        <v>0</v>
      </c>
      <c r="V209" s="40">
        <v>3853.83</v>
      </c>
      <c r="W209" s="40">
        <v>0</v>
      </c>
      <c r="X209" s="40">
        <v>0</v>
      </c>
      <c r="Y209" s="40">
        <v>0</v>
      </c>
      <c r="Z209" s="40">
        <v>0</v>
      </c>
      <c r="AA209" s="40">
        <v>143.28</v>
      </c>
      <c r="AB209" s="40">
        <v>770.77</v>
      </c>
      <c r="AC209" s="40">
        <v>223.52</v>
      </c>
      <c r="AD209" s="40">
        <v>1488.61</v>
      </c>
      <c r="AE209" s="49">
        <f t="shared" si="46"/>
        <v>0</v>
      </c>
      <c r="AF209" s="49">
        <f t="shared" si="47"/>
        <v>9.9999999999909051E-3</v>
      </c>
      <c r="AG209" t="s">
        <v>371</v>
      </c>
      <c r="AH209" s="55">
        <v>3853.83</v>
      </c>
      <c r="AI209">
        <v>308.3</v>
      </c>
      <c r="AJ209" s="49">
        <f t="shared" si="48"/>
        <v>0</v>
      </c>
      <c r="AK209" s="49">
        <f t="shared" si="49"/>
        <v>0</v>
      </c>
      <c r="AL209" t="s">
        <v>371</v>
      </c>
      <c r="AM209" s="81">
        <v>3853.83</v>
      </c>
      <c r="AN209" s="81">
        <v>351.04</v>
      </c>
      <c r="AO209" s="81">
        <v>0</v>
      </c>
      <c r="AP209" s="81">
        <v>0</v>
      </c>
    </row>
    <row r="210" spans="1:42">
      <c r="A210" s="38" t="s">
        <v>273</v>
      </c>
      <c r="B210" s="38" t="s">
        <v>96</v>
      </c>
      <c r="C210" s="38" t="s">
        <v>65</v>
      </c>
      <c r="D210" s="38" t="s">
        <v>66</v>
      </c>
      <c r="E210" s="39">
        <v>2354.0100000000002</v>
      </c>
      <c r="F210" s="39">
        <v>0</v>
      </c>
      <c r="G210" s="39">
        <v>0</v>
      </c>
      <c r="H210" s="40">
        <v>0</v>
      </c>
      <c r="I210" s="40">
        <v>0</v>
      </c>
      <c r="J210" s="40">
        <v>188.32</v>
      </c>
      <c r="K210" s="40">
        <v>0</v>
      </c>
      <c r="L210" s="40">
        <v>0</v>
      </c>
      <c r="M210" s="40">
        <v>0</v>
      </c>
      <c r="N210" s="40">
        <v>0</v>
      </c>
      <c r="O210" s="40">
        <v>2354.0100000000002</v>
      </c>
      <c r="P210" s="40">
        <v>0</v>
      </c>
      <c r="Q210" s="40">
        <v>0</v>
      </c>
      <c r="R210" s="40">
        <v>187.54</v>
      </c>
      <c r="S210" s="40">
        <v>0</v>
      </c>
      <c r="T210" s="40">
        <v>0</v>
      </c>
      <c r="U210" s="40">
        <v>0</v>
      </c>
      <c r="V210" s="40">
        <v>2354.0100000000002</v>
      </c>
      <c r="W210" s="40">
        <v>0</v>
      </c>
      <c r="X210" s="40">
        <v>0</v>
      </c>
      <c r="Y210" s="40">
        <v>0</v>
      </c>
      <c r="Z210" s="40">
        <v>0</v>
      </c>
      <c r="AA210" s="40">
        <v>87.52</v>
      </c>
      <c r="AB210" s="40">
        <v>470.8</v>
      </c>
      <c r="AC210" s="40">
        <v>136.53</v>
      </c>
      <c r="AD210" s="40">
        <v>882.39</v>
      </c>
      <c r="AE210" s="49">
        <f t="shared" si="46"/>
        <v>0</v>
      </c>
      <c r="AF210" s="49">
        <f t="shared" si="47"/>
        <v>0</v>
      </c>
      <c r="AG210" t="s">
        <v>273</v>
      </c>
      <c r="AH210" s="55">
        <v>2354.0100000000002</v>
      </c>
      <c r="AI210">
        <v>188.32</v>
      </c>
      <c r="AJ210" s="49">
        <f t="shared" si="48"/>
        <v>0</v>
      </c>
      <c r="AK210" s="49">
        <f t="shared" si="49"/>
        <v>0</v>
      </c>
      <c r="AL210" t="s">
        <v>273</v>
      </c>
      <c r="AM210" s="81">
        <v>2354.0100000000002</v>
      </c>
      <c r="AN210" s="81">
        <v>187.54</v>
      </c>
      <c r="AO210" s="81">
        <v>0</v>
      </c>
      <c r="AP210" s="81">
        <v>0</v>
      </c>
    </row>
    <row r="211" spans="1:42">
      <c r="A211" s="38" t="s">
        <v>274</v>
      </c>
      <c r="B211" s="38" t="s">
        <v>68</v>
      </c>
      <c r="C211" s="38" t="s">
        <v>99</v>
      </c>
      <c r="D211" s="38" t="s">
        <v>66</v>
      </c>
      <c r="E211" s="39">
        <v>0</v>
      </c>
      <c r="F211" s="39">
        <v>0</v>
      </c>
      <c r="G211" s="39">
        <v>0</v>
      </c>
      <c r="H211" s="40">
        <v>0</v>
      </c>
      <c r="I211" s="40">
        <v>0</v>
      </c>
      <c r="J211" s="40">
        <v>0</v>
      </c>
      <c r="K211" s="40">
        <v>0</v>
      </c>
      <c r="L211" s="40">
        <v>0</v>
      </c>
      <c r="M211" s="40">
        <v>0</v>
      </c>
      <c r="N211" s="40">
        <v>0</v>
      </c>
      <c r="O211" s="40">
        <v>0</v>
      </c>
      <c r="P211" s="40">
        <v>0</v>
      </c>
      <c r="Q211" s="40">
        <v>0</v>
      </c>
      <c r="R211" s="40">
        <v>0</v>
      </c>
      <c r="S211" s="40">
        <v>0</v>
      </c>
      <c r="T211" s="40">
        <v>0</v>
      </c>
      <c r="U211" s="40">
        <v>0</v>
      </c>
      <c r="V211" s="40">
        <v>0</v>
      </c>
      <c r="W211" s="40">
        <v>0</v>
      </c>
      <c r="X211" s="40">
        <v>0</v>
      </c>
      <c r="Y211" s="40">
        <v>0</v>
      </c>
      <c r="Z211" s="40">
        <v>0</v>
      </c>
      <c r="AA211" s="40">
        <v>0</v>
      </c>
      <c r="AB211" s="40">
        <v>0</v>
      </c>
      <c r="AC211" s="40">
        <v>0</v>
      </c>
      <c r="AD211" s="40">
        <v>0</v>
      </c>
      <c r="AE211" s="49">
        <f t="shared" ref="AE211:AE213" si="50">(E211+F211+G211+H211+I211)-AH211</f>
        <v>0</v>
      </c>
      <c r="AF211" s="49">
        <f t="shared" ref="AF211:AF213" si="51">(J211+K211+L211+M211+N211)-AI211</f>
        <v>0</v>
      </c>
      <c r="AH211" s="55"/>
      <c r="AJ211" s="49">
        <f t="shared" ref="AJ211:AJ274" si="52">(O211+P211)-(AM211+AO211)</f>
        <v>0</v>
      </c>
      <c r="AK211" s="49">
        <f t="shared" ref="AK211:AK274" si="53">(R211+S211+T211+U211)-(AN211+AP211)</f>
        <v>0</v>
      </c>
      <c r="AM211" s="81"/>
      <c r="AN211" s="81"/>
      <c r="AO211" s="81"/>
      <c r="AP211" s="81"/>
    </row>
    <row r="212" spans="1:42">
      <c r="A212" s="38" t="s">
        <v>275</v>
      </c>
      <c r="B212" s="38" t="s">
        <v>92</v>
      </c>
      <c r="C212" s="38" t="s">
        <v>99</v>
      </c>
      <c r="D212" s="38" t="s">
        <v>66</v>
      </c>
      <c r="E212" s="39">
        <v>0</v>
      </c>
      <c r="F212" s="39">
        <v>0</v>
      </c>
      <c r="G212" s="39">
        <v>0</v>
      </c>
      <c r="H212" s="40">
        <v>0</v>
      </c>
      <c r="I212" s="40">
        <v>0</v>
      </c>
      <c r="J212" s="40">
        <v>0</v>
      </c>
      <c r="K212" s="40">
        <v>0</v>
      </c>
      <c r="L212" s="40">
        <v>0</v>
      </c>
      <c r="M212" s="40">
        <v>0</v>
      </c>
      <c r="N212" s="40">
        <v>0</v>
      </c>
      <c r="O212" s="40">
        <v>0</v>
      </c>
      <c r="P212" s="40">
        <v>0</v>
      </c>
      <c r="Q212" s="40">
        <v>0</v>
      </c>
      <c r="R212" s="40">
        <v>0</v>
      </c>
      <c r="S212" s="40">
        <v>0</v>
      </c>
      <c r="T212" s="40">
        <v>0</v>
      </c>
      <c r="U212" s="40">
        <v>0</v>
      </c>
      <c r="V212" s="40">
        <v>0</v>
      </c>
      <c r="W212" s="40">
        <v>0</v>
      </c>
      <c r="X212" s="40">
        <v>0</v>
      </c>
      <c r="Y212" s="40">
        <v>0</v>
      </c>
      <c r="Z212" s="40">
        <v>0</v>
      </c>
      <c r="AA212" s="40">
        <v>0</v>
      </c>
      <c r="AB212" s="40">
        <v>0</v>
      </c>
      <c r="AC212" s="40">
        <v>0</v>
      </c>
      <c r="AD212" s="40">
        <v>0</v>
      </c>
      <c r="AE212" s="49">
        <f t="shared" si="50"/>
        <v>0</v>
      </c>
      <c r="AF212" s="49">
        <f t="shared" si="51"/>
        <v>0</v>
      </c>
      <c r="AH212" s="55"/>
      <c r="AJ212" s="49">
        <f t="shared" si="52"/>
        <v>0</v>
      </c>
      <c r="AK212" s="49">
        <f t="shared" si="53"/>
        <v>0</v>
      </c>
      <c r="AM212" s="81"/>
      <c r="AN212" s="81"/>
      <c r="AO212" s="81"/>
      <c r="AP212" s="81"/>
    </row>
    <row r="213" spans="1:42">
      <c r="A213" s="38" t="s">
        <v>276</v>
      </c>
      <c r="B213" s="38" t="s">
        <v>68</v>
      </c>
      <c r="C213" s="38" t="s">
        <v>65</v>
      </c>
      <c r="D213" s="38" t="s">
        <v>66</v>
      </c>
      <c r="E213" s="39">
        <v>5811.6</v>
      </c>
      <c r="F213" s="39">
        <v>0</v>
      </c>
      <c r="G213" s="39">
        <v>0</v>
      </c>
      <c r="H213" s="40">
        <v>0</v>
      </c>
      <c r="I213" s="40">
        <v>0</v>
      </c>
      <c r="J213" s="40">
        <v>464.93</v>
      </c>
      <c r="K213" s="40">
        <v>0</v>
      </c>
      <c r="L213" s="40">
        <v>0</v>
      </c>
      <c r="M213" s="40">
        <v>0</v>
      </c>
      <c r="N213" s="40">
        <v>0</v>
      </c>
      <c r="O213" s="40">
        <v>5811.6</v>
      </c>
      <c r="P213" s="40">
        <v>0</v>
      </c>
      <c r="Q213" s="40">
        <v>0</v>
      </c>
      <c r="R213" s="40">
        <v>615.12</v>
      </c>
      <c r="S213" s="40">
        <v>0</v>
      </c>
      <c r="T213" s="40">
        <v>0</v>
      </c>
      <c r="U213" s="40">
        <v>0</v>
      </c>
      <c r="V213" s="40">
        <v>5811.6</v>
      </c>
      <c r="W213" s="40">
        <v>0</v>
      </c>
      <c r="X213" s="40">
        <v>315.45999999999998</v>
      </c>
      <c r="Y213" s="40">
        <v>0</v>
      </c>
      <c r="Z213" s="40">
        <v>0</v>
      </c>
      <c r="AA213" s="40">
        <v>216.07</v>
      </c>
      <c r="AB213" s="40">
        <v>1162.32</v>
      </c>
      <c r="AC213" s="40">
        <v>337.07</v>
      </c>
      <c r="AD213" s="40">
        <v>2330.58</v>
      </c>
      <c r="AE213" s="49">
        <f t="shared" si="50"/>
        <v>0</v>
      </c>
      <c r="AF213" s="49">
        <f t="shared" si="51"/>
        <v>9.9999999999909051E-3</v>
      </c>
      <c r="AG213" t="s">
        <v>276</v>
      </c>
      <c r="AH213" s="55">
        <v>5811.6</v>
      </c>
      <c r="AI213">
        <v>464.92</v>
      </c>
      <c r="AJ213" s="49">
        <f t="shared" si="52"/>
        <v>0</v>
      </c>
      <c r="AK213" s="49">
        <f t="shared" si="53"/>
        <v>0</v>
      </c>
      <c r="AL213" t="s">
        <v>276</v>
      </c>
      <c r="AM213" s="81">
        <v>5811.6</v>
      </c>
      <c r="AN213" s="81">
        <v>615.12</v>
      </c>
      <c r="AO213" s="81">
        <v>0</v>
      </c>
      <c r="AP213" s="81">
        <v>0</v>
      </c>
    </row>
    <row r="214" spans="1:42">
      <c r="A214" s="56" t="s">
        <v>372</v>
      </c>
      <c r="B214" s="56" t="s">
        <v>68</v>
      </c>
      <c r="C214" s="56" t="s">
        <v>375</v>
      </c>
      <c r="D214" s="56" t="s">
        <v>66</v>
      </c>
      <c r="E214" s="58">
        <v>1657.59</v>
      </c>
      <c r="F214" s="58">
        <v>0</v>
      </c>
      <c r="G214" s="58">
        <v>0</v>
      </c>
      <c r="H214" s="57">
        <v>0</v>
      </c>
      <c r="I214" s="57">
        <v>0</v>
      </c>
      <c r="J214" s="57">
        <v>132.61000000000001</v>
      </c>
      <c r="K214" s="57">
        <v>0</v>
      </c>
      <c r="L214" s="57">
        <v>0</v>
      </c>
      <c r="M214" s="57">
        <v>0</v>
      </c>
      <c r="N214" s="57">
        <v>0</v>
      </c>
      <c r="O214" s="57">
        <v>1657.59</v>
      </c>
      <c r="P214" s="57">
        <v>0</v>
      </c>
      <c r="Q214" s="57">
        <v>0</v>
      </c>
      <c r="R214" s="57">
        <v>124.86</v>
      </c>
      <c r="S214" s="57">
        <v>0</v>
      </c>
      <c r="T214" s="57">
        <v>0</v>
      </c>
      <c r="U214" s="57">
        <v>0</v>
      </c>
      <c r="V214" s="57">
        <v>1657.59</v>
      </c>
      <c r="W214" s="57">
        <v>0</v>
      </c>
      <c r="X214" s="57">
        <v>0</v>
      </c>
      <c r="Y214" s="57">
        <v>0</v>
      </c>
      <c r="Z214" s="57">
        <v>0</v>
      </c>
      <c r="AA214" s="57">
        <v>61.63</v>
      </c>
      <c r="AB214" s="57">
        <v>331.52</v>
      </c>
      <c r="AC214" s="57">
        <v>96.14</v>
      </c>
      <c r="AD214" s="57">
        <v>614.15</v>
      </c>
      <c r="AE214" s="49">
        <f t="shared" ref="AE214:AE215" si="54">(E214+F214+G214+H214+I214)-AH214</f>
        <v>0</v>
      </c>
      <c r="AF214" s="49">
        <f t="shared" ref="AF214:AF215" si="55">(J214+K214+L214+M214+N214)-AI214</f>
        <v>1.0000000000019327E-2</v>
      </c>
      <c r="AG214" t="s">
        <v>372</v>
      </c>
      <c r="AH214" s="55">
        <v>1657.59</v>
      </c>
      <c r="AI214">
        <v>132.6</v>
      </c>
      <c r="AJ214" s="49">
        <f t="shared" si="52"/>
        <v>0</v>
      </c>
      <c r="AK214" s="49">
        <f t="shared" si="53"/>
        <v>0</v>
      </c>
      <c r="AL214" t="s">
        <v>372</v>
      </c>
      <c r="AM214" s="81">
        <v>1657.59</v>
      </c>
      <c r="AN214" s="81">
        <v>124.86</v>
      </c>
      <c r="AO214" s="81">
        <v>0</v>
      </c>
      <c r="AP214" s="81">
        <v>0</v>
      </c>
    </row>
    <row r="215" spans="1:42">
      <c r="A215" s="38" t="s">
        <v>277</v>
      </c>
      <c r="B215" s="38" t="s">
        <v>108</v>
      </c>
      <c r="C215" s="38" t="s">
        <v>65</v>
      </c>
      <c r="D215" s="38" t="s">
        <v>109</v>
      </c>
      <c r="E215" s="39">
        <v>266.67</v>
      </c>
      <c r="F215" s="39">
        <v>0</v>
      </c>
      <c r="G215" s="39">
        <v>0</v>
      </c>
      <c r="H215" s="40">
        <v>0</v>
      </c>
      <c r="I215" s="40">
        <v>0</v>
      </c>
      <c r="J215" s="40">
        <v>5.33</v>
      </c>
      <c r="K215" s="40">
        <v>0</v>
      </c>
      <c r="L215" s="40">
        <v>0</v>
      </c>
      <c r="M215" s="40">
        <v>0</v>
      </c>
      <c r="N215" s="40">
        <v>0</v>
      </c>
      <c r="O215" s="40">
        <v>266.67</v>
      </c>
      <c r="P215" s="40">
        <v>0</v>
      </c>
      <c r="Q215" s="40">
        <v>0</v>
      </c>
      <c r="R215" s="40">
        <v>20</v>
      </c>
      <c r="S215" s="40">
        <v>0</v>
      </c>
      <c r="T215" s="40">
        <v>0</v>
      </c>
      <c r="U215" s="40">
        <v>0</v>
      </c>
      <c r="V215" s="40">
        <v>266.67</v>
      </c>
      <c r="W215" s="40">
        <v>0</v>
      </c>
      <c r="X215" s="40">
        <v>0</v>
      </c>
      <c r="Y215" s="40">
        <v>0</v>
      </c>
      <c r="Z215" s="40">
        <v>0</v>
      </c>
      <c r="AA215" s="40">
        <v>9.91</v>
      </c>
      <c r="AB215" s="40">
        <v>53.33</v>
      </c>
      <c r="AC215" s="40">
        <v>15.47</v>
      </c>
      <c r="AD215" s="40">
        <v>98.72</v>
      </c>
      <c r="AE215" s="49">
        <f t="shared" si="54"/>
        <v>0</v>
      </c>
      <c r="AF215" s="49">
        <f t="shared" si="55"/>
        <v>0</v>
      </c>
      <c r="AG215" t="s">
        <v>277</v>
      </c>
      <c r="AH215">
        <v>266.67</v>
      </c>
      <c r="AI215">
        <v>5.33</v>
      </c>
      <c r="AJ215" s="49">
        <f t="shared" si="52"/>
        <v>0</v>
      </c>
      <c r="AK215" s="49">
        <f t="shared" si="53"/>
        <v>0</v>
      </c>
      <c r="AL215" t="s">
        <v>277</v>
      </c>
      <c r="AM215" s="81">
        <v>266.67</v>
      </c>
      <c r="AN215" s="81">
        <v>20</v>
      </c>
      <c r="AO215" s="81">
        <v>0</v>
      </c>
      <c r="AP215" s="81">
        <v>0</v>
      </c>
    </row>
    <row r="216" spans="1:42">
      <c r="A216" s="38" t="s">
        <v>278</v>
      </c>
      <c r="B216" s="38" t="s">
        <v>98</v>
      </c>
      <c r="C216" s="38" t="s">
        <v>65</v>
      </c>
      <c r="D216" s="38" t="s">
        <v>66</v>
      </c>
      <c r="E216" s="39">
        <v>2929.01</v>
      </c>
      <c r="F216" s="39">
        <v>0</v>
      </c>
      <c r="G216" s="39">
        <v>0</v>
      </c>
      <c r="H216" s="40">
        <v>0</v>
      </c>
      <c r="I216" s="40">
        <v>0</v>
      </c>
      <c r="J216" s="40">
        <v>234.32</v>
      </c>
      <c r="K216" s="40">
        <v>0</v>
      </c>
      <c r="L216" s="40">
        <v>0</v>
      </c>
      <c r="M216" s="40">
        <v>0</v>
      </c>
      <c r="N216" s="40">
        <v>0</v>
      </c>
      <c r="O216" s="40">
        <v>2929.01</v>
      </c>
      <c r="P216" s="40">
        <v>0</v>
      </c>
      <c r="Q216" s="40">
        <v>0</v>
      </c>
      <c r="R216" s="40">
        <v>240.07</v>
      </c>
      <c r="S216" s="40">
        <v>0</v>
      </c>
      <c r="T216" s="40">
        <v>0</v>
      </c>
      <c r="U216" s="40">
        <v>0</v>
      </c>
      <c r="V216" s="40">
        <v>2929.01</v>
      </c>
      <c r="W216" s="40">
        <v>0</v>
      </c>
      <c r="X216" s="40">
        <v>0</v>
      </c>
      <c r="Y216" s="40">
        <v>0</v>
      </c>
      <c r="Z216" s="40">
        <v>0</v>
      </c>
      <c r="AA216" s="40">
        <v>108.9</v>
      </c>
      <c r="AB216" s="40">
        <v>585.79999999999995</v>
      </c>
      <c r="AC216" s="40">
        <v>169.88</v>
      </c>
      <c r="AD216" s="40">
        <v>1104.6500000000001</v>
      </c>
      <c r="AE216" s="49">
        <f t="shared" ref="AE216:AE227" si="56">(E216+F216+G216+H216+I216)-AH216</f>
        <v>0</v>
      </c>
      <c r="AF216" s="49">
        <f t="shared" ref="AF216:AF227" si="57">(J216+K216+L216+M216+N216)-AI216</f>
        <v>0</v>
      </c>
      <c r="AG216" t="s">
        <v>278</v>
      </c>
      <c r="AH216" s="55">
        <v>2929.01</v>
      </c>
      <c r="AI216">
        <v>234.32</v>
      </c>
      <c r="AJ216" s="49">
        <f t="shared" si="52"/>
        <v>0</v>
      </c>
      <c r="AK216" s="49">
        <f t="shared" si="53"/>
        <v>0</v>
      </c>
      <c r="AL216" t="s">
        <v>278</v>
      </c>
      <c r="AM216" s="81">
        <v>2929.01</v>
      </c>
      <c r="AN216" s="81">
        <v>240.07</v>
      </c>
      <c r="AO216" s="81">
        <v>0</v>
      </c>
      <c r="AP216" s="81">
        <v>0</v>
      </c>
    </row>
    <row r="217" spans="1:42">
      <c r="A217" s="38" t="s">
        <v>279</v>
      </c>
      <c r="B217" s="38" t="s">
        <v>84</v>
      </c>
      <c r="C217" s="38" t="s">
        <v>65</v>
      </c>
      <c r="D217" s="38" t="s">
        <v>66</v>
      </c>
      <c r="E217" s="39">
        <v>2322.27</v>
      </c>
      <c r="F217" s="39">
        <v>0</v>
      </c>
      <c r="G217" s="39">
        <v>0</v>
      </c>
      <c r="H217" s="40">
        <v>0</v>
      </c>
      <c r="I217" s="40">
        <v>0</v>
      </c>
      <c r="J217" s="40">
        <v>185.78</v>
      </c>
      <c r="K217" s="40">
        <v>0</v>
      </c>
      <c r="L217" s="40">
        <v>0</v>
      </c>
      <c r="M217" s="40">
        <v>0</v>
      </c>
      <c r="N217" s="40">
        <v>0</v>
      </c>
      <c r="O217" s="40">
        <v>2322.27</v>
      </c>
      <c r="P217" s="40">
        <v>0</v>
      </c>
      <c r="Q217" s="40">
        <v>0</v>
      </c>
      <c r="R217" s="40">
        <v>184.68</v>
      </c>
      <c r="S217" s="40">
        <v>0</v>
      </c>
      <c r="T217" s="40">
        <v>0</v>
      </c>
      <c r="U217" s="40">
        <v>0</v>
      </c>
      <c r="V217" s="40">
        <v>2322.27</v>
      </c>
      <c r="W217" s="40">
        <v>0</v>
      </c>
      <c r="X217" s="40">
        <v>0</v>
      </c>
      <c r="Y217" s="40">
        <v>0</v>
      </c>
      <c r="Z217" s="40">
        <v>0</v>
      </c>
      <c r="AA217" s="40">
        <v>86.34</v>
      </c>
      <c r="AB217" s="40">
        <v>464.45</v>
      </c>
      <c r="AC217" s="40">
        <v>134.69</v>
      </c>
      <c r="AD217" s="40">
        <v>870.17</v>
      </c>
      <c r="AE217" s="49">
        <f t="shared" si="56"/>
        <v>0</v>
      </c>
      <c r="AF217" s="49">
        <f t="shared" si="57"/>
        <v>0</v>
      </c>
      <c r="AG217" t="s">
        <v>279</v>
      </c>
      <c r="AH217" s="55">
        <v>2322.27</v>
      </c>
      <c r="AI217">
        <v>185.78</v>
      </c>
      <c r="AJ217" s="49">
        <f t="shared" si="52"/>
        <v>0</v>
      </c>
      <c r="AK217" s="49">
        <f t="shared" si="53"/>
        <v>0</v>
      </c>
      <c r="AL217" t="s">
        <v>279</v>
      </c>
      <c r="AM217" s="81">
        <v>2322.27</v>
      </c>
      <c r="AN217" s="81">
        <v>184.68</v>
      </c>
      <c r="AO217" s="81">
        <v>0</v>
      </c>
      <c r="AP217" s="81">
        <v>0</v>
      </c>
    </row>
    <row r="218" spans="1:42">
      <c r="A218" s="38" t="s">
        <v>280</v>
      </c>
      <c r="B218" s="38" t="s">
        <v>68</v>
      </c>
      <c r="C218" s="38" t="s">
        <v>65</v>
      </c>
      <c r="D218" s="38" t="s">
        <v>66</v>
      </c>
      <c r="E218" s="39">
        <v>7341.56</v>
      </c>
      <c r="F218" s="39">
        <v>0</v>
      </c>
      <c r="G218" s="39">
        <v>0</v>
      </c>
      <c r="H218" s="40">
        <v>0</v>
      </c>
      <c r="I218" s="40">
        <v>0</v>
      </c>
      <c r="J218" s="40">
        <v>587.32000000000005</v>
      </c>
      <c r="K218" s="40">
        <v>0</v>
      </c>
      <c r="L218" s="40">
        <v>0</v>
      </c>
      <c r="M218" s="40">
        <v>0</v>
      </c>
      <c r="N218" s="40">
        <v>0</v>
      </c>
      <c r="O218" s="40">
        <v>7341.56</v>
      </c>
      <c r="P218" s="40">
        <v>0</v>
      </c>
      <c r="Q218" s="40">
        <v>0</v>
      </c>
      <c r="R218" s="40">
        <v>829.32</v>
      </c>
      <c r="S218" s="40">
        <v>0</v>
      </c>
      <c r="T218" s="40">
        <v>0</v>
      </c>
      <c r="U218" s="40">
        <v>0</v>
      </c>
      <c r="V218" s="40">
        <v>7341.56</v>
      </c>
      <c r="W218" s="40">
        <v>0</v>
      </c>
      <c r="X218" s="40">
        <v>881</v>
      </c>
      <c r="Y218" s="40">
        <v>0</v>
      </c>
      <c r="Z218" s="40">
        <v>0</v>
      </c>
      <c r="AA218" s="40">
        <v>272.95</v>
      </c>
      <c r="AB218" s="40">
        <v>1468.31</v>
      </c>
      <c r="AC218" s="40">
        <v>425.81</v>
      </c>
      <c r="AD218" s="40">
        <v>2996.39</v>
      </c>
      <c r="AE218" s="49">
        <f t="shared" si="56"/>
        <v>0</v>
      </c>
      <c r="AF218" s="49">
        <f t="shared" si="57"/>
        <v>0</v>
      </c>
      <c r="AG218" t="s">
        <v>280</v>
      </c>
      <c r="AH218" s="55">
        <v>7341.56</v>
      </c>
      <c r="AI218">
        <v>587.32000000000005</v>
      </c>
      <c r="AJ218" s="49">
        <f t="shared" si="52"/>
        <v>0</v>
      </c>
      <c r="AK218" s="49">
        <f t="shared" si="53"/>
        <v>0</v>
      </c>
      <c r="AL218" t="s">
        <v>280</v>
      </c>
      <c r="AM218" s="81">
        <v>7341.56</v>
      </c>
      <c r="AN218" s="81">
        <v>829.32</v>
      </c>
      <c r="AO218" s="81">
        <v>0</v>
      </c>
      <c r="AP218" s="81">
        <v>0</v>
      </c>
    </row>
    <row r="219" spans="1:42">
      <c r="A219" s="38" t="s">
        <v>281</v>
      </c>
      <c r="B219" s="38" t="s">
        <v>68</v>
      </c>
      <c r="C219" s="38" t="s">
        <v>65</v>
      </c>
      <c r="D219" s="38" t="s">
        <v>66</v>
      </c>
      <c r="E219" s="39">
        <v>3753.31</v>
      </c>
      <c r="F219" s="39">
        <v>0</v>
      </c>
      <c r="G219" s="39">
        <v>0</v>
      </c>
      <c r="H219" s="40">
        <v>0</v>
      </c>
      <c r="I219" s="40">
        <v>0</v>
      </c>
      <c r="J219" s="40">
        <v>300.26</v>
      </c>
      <c r="K219" s="40">
        <v>0</v>
      </c>
      <c r="L219" s="40">
        <v>0</v>
      </c>
      <c r="M219" s="40">
        <v>0</v>
      </c>
      <c r="N219" s="40">
        <v>0</v>
      </c>
      <c r="O219" s="40">
        <v>3753.31</v>
      </c>
      <c r="P219" s="40">
        <v>0</v>
      </c>
      <c r="Q219" s="40">
        <v>0</v>
      </c>
      <c r="R219" s="40">
        <v>338.98</v>
      </c>
      <c r="S219" s="40">
        <v>0</v>
      </c>
      <c r="T219" s="40">
        <v>0</v>
      </c>
      <c r="U219" s="40">
        <v>0</v>
      </c>
      <c r="V219" s="40">
        <v>3753.31</v>
      </c>
      <c r="W219" s="40">
        <v>0</v>
      </c>
      <c r="X219" s="40">
        <v>0</v>
      </c>
      <c r="Y219" s="40">
        <v>0</v>
      </c>
      <c r="Z219" s="40">
        <v>0</v>
      </c>
      <c r="AA219" s="40">
        <v>139.54</v>
      </c>
      <c r="AB219" s="40">
        <v>750.66</v>
      </c>
      <c r="AC219" s="40">
        <v>217.69</v>
      </c>
      <c r="AD219" s="40">
        <v>1446.88</v>
      </c>
      <c r="AE219" s="49">
        <f t="shared" si="56"/>
        <v>0</v>
      </c>
      <c r="AF219" s="49">
        <f t="shared" si="57"/>
        <v>0</v>
      </c>
      <c r="AG219" t="s">
        <v>281</v>
      </c>
      <c r="AH219" s="55">
        <v>3753.31</v>
      </c>
      <c r="AI219">
        <v>300.26</v>
      </c>
      <c r="AJ219" s="49">
        <f t="shared" si="52"/>
        <v>0</v>
      </c>
      <c r="AK219" s="49">
        <f t="shared" si="53"/>
        <v>0</v>
      </c>
      <c r="AL219" t="s">
        <v>281</v>
      </c>
      <c r="AM219" s="81">
        <v>3753.31</v>
      </c>
      <c r="AN219" s="81">
        <v>338.98</v>
      </c>
      <c r="AO219" s="81">
        <v>0</v>
      </c>
      <c r="AP219" s="81">
        <v>0</v>
      </c>
    </row>
    <row r="220" spans="1:42">
      <c r="A220" s="38" t="s">
        <v>282</v>
      </c>
      <c r="B220" s="38" t="s">
        <v>113</v>
      </c>
      <c r="C220" s="38" t="s">
        <v>65</v>
      </c>
      <c r="D220" s="38" t="s">
        <v>66</v>
      </c>
      <c r="E220" s="39">
        <v>2354.0100000000002</v>
      </c>
      <c r="F220" s="39">
        <v>0</v>
      </c>
      <c r="G220" s="39">
        <v>0</v>
      </c>
      <c r="H220" s="40">
        <v>0</v>
      </c>
      <c r="I220" s="40">
        <v>0</v>
      </c>
      <c r="J220" s="40">
        <v>188.32</v>
      </c>
      <c r="K220" s="40">
        <v>0</v>
      </c>
      <c r="L220" s="40">
        <v>0</v>
      </c>
      <c r="M220" s="40">
        <v>0</v>
      </c>
      <c r="N220" s="40">
        <v>0</v>
      </c>
      <c r="O220" s="40">
        <v>2354.0100000000002</v>
      </c>
      <c r="P220" s="40">
        <v>0</v>
      </c>
      <c r="Q220" s="40">
        <v>0</v>
      </c>
      <c r="R220" s="40">
        <v>187.54</v>
      </c>
      <c r="S220" s="40">
        <v>0</v>
      </c>
      <c r="T220" s="40">
        <v>0</v>
      </c>
      <c r="U220" s="40">
        <v>0</v>
      </c>
      <c r="V220" s="40">
        <v>2354.0100000000002</v>
      </c>
      <c r="W220" s="40">
        <v>0</v>
      </c>
      <c r="X220" s="40">
        <v>0</v>
      </c>
      <c r="Y220" s="40">
        <v>0</v>
      </c>
      <c r="Z220" s="40">
        <v>0</v>
      </c>
      <c r="AA220" s="40">
        <v>87.52</v>
      </c>
      <c r="AB220" s="40">
        <v>470.8</v>
      </c>
      <c r="AC220" s="40">
        <v>136.53</v>
      </c>
      <c r="AD220" s="40">
        <v>882.39</v>
      </c>
      <c r="AE220" s="49">
        <f t="shared" si="56"/>
        <v>0</v>
      </c>
      <c r="AF220" s="49">
        <f t="shared" si="57"/>
        <v>0</v>
      </c>
      <c r="AG220" t="s">
        <v>282</v>
      </c>
      <c r="AH220" s="55">
        <v>2354.0100000000002</v>
      </c>
      <c r="AI220">
        <v>188.32</v>
      </c>
      <c r="AJ220" s="49">
        <f t="shared" si="52"/>
        <v>0</v>
      </c>
      <c r="AK220" s="49">
        <f t="shared" si="53"/>
        <v>0</v>
      </c>
      <c r="AL220" t="s">
        <v>282</v>
      </c>
      <c r="AM220" s="81">
        <v>2354.0100000000002</v>
      </c>
      <c r="AN220" s="81">
        <v>187.54</v>
      </c>
      <c r="AO220" s="81">
        <v>0</v>
      </c>
      <c r="AP220" s="81">
        <v>0</v>
      </c>
    </row>
    <row r="221" spans="1:42">
      <c r="A221" s="38" t="s">
        <v>283</v>
      </c>
      <c r="B221" s="38" t="s">
        <v>68</v>
      </c>
      <c r="C221" s="38" t="s">
        <v>65</v>
      </c>
      <c r="D221" s="38" t="s">
        <v>66</v>
      </c>
      <c r="E221" s="39">
        <v>3490.82</v>
      </c>
      <c r="F221" s="39">
        <v>0</v>
      </c>
      <c r="G221" s="39">
        <v>0</v>
      </c>
      <c r="H221" s="40">
        <v>0</v>
      </c>
      <c r="I221" s="40">
        <v>0</v>
      </c>
      <c r="J221" s="40">
        <v>279.27</v>
      </c>
      <c r="K221" s="40">
        <v>0</v>
      </c>
      <c r="L221" s="40">
        <v>0</v>
      </c>
      <c r="M221" s="40">
        <v>0</v>
      </c>
      <c r="N221" s="40">
        <v>0</v>
      </c>
      <c r="O221" s="40">
        <v>3490.82</v>
      </c>
      <c r="P221" s="40">
        <v>0</v>
      </c>
      <c r="Q221" s="40">
        <v>0</v>
      </c>
      <c r="R221" s="40">
        <v>307.48</v>
      </c>
      <c r="S221" s="40">
        <v>0</v>
      </c>
      <c r="T221" s="40">
        <v>0</v>
      </c>
      <c r="U221" s="40">
        <v>0</v>
      </c>
      <c r="V221" s="40">
        <v>3490.82</v>
      </c>
      <c r="W221" s="40">
        <v>0</v>
      </c>
      <c r="X221" s="40">
        <v>0</v>
      </c>
      <c r="Y221" s="40">
        <v>0</v>
      </c>
      <c r="Z221" s="40">
        <v>0</v>
      </c>
      <c r="AA221" s="40">
        <v>129.79</v>
      </c>
      <c r="AB221" s="40">
        <v>698.16</v>
      </c>
      <c r="AC221" s="40">
        <v>202.47</v>
      </c>
      <c r="AD221" s="40">
        <v>1337.9</v>
      </c>
      <c r="AE221" s="49">
        <f t="shared" si="56"/>
        <v>0</v>
      </c>
      <c r="AF221" s="49">
        <f t="shared" si="57"/>
        <v>9.9999999999909051E-3</v>
      </c>
      <c r="AG221" t="s">
        <v>283</v>
      </c>
      <c r="AH221" s="55">
        <v>3490.82</v>
      </c>
      <c r="AI221">
        <v>279.26</v>
      </c>
      <c r="AJ221" s="49">
        <f t="shared" si="52"/>
        <v>0</v>
      </c>
      <c r="AK221" s="49">
        <f t="shared" si="53"/>
        <v>0</v>
      </c>
      <c r="AL221" t="s">
        <v>283</v>
      </c>
      <c r="AM221" s="81">
        <v>3490.82</v>
      </c>
      <c r="AN221" s="81">
        <v>307.48</v>
      </c>
      <c r="AO221" s="81">
        <v>0</v>
      </c>
      <c r="AP221" s="81">
        <v>0</v>
      </c>
    </row>
    <row r="222" spans="1:42">
      <c r="A222" s="38" t="s">
        <v>284</v>
      </c>
      <c r="B222" s="38" t="s">
        <v>68</v>
      </c>
      <c r="C222" s="38" t="s">
        <v>65</v>
      </c>
      <c r="D222" s="38" t="s">
        <v>66</v>
      </c>
      <c r="E222" s="39">
        <v>3610.07</v>
      </c>
      <c r="F222" s="39">
        <v>0</v>
      </c>
      <c r="G222" s="39">
        <v>0</v>
      </c>
      <c r="H222" s="40">
        <v>0</v>
      </c>
      <c r="I222" s="40">
        <v>0</v>
      </c>
      <c r="J222" s="40">
        <v>288.81</v>
      </c>
      <c r="K222" s="40">
        <v>0</v>
      </c>
      <c r="L222" s="40">
        <v>0</v>
      </c>
      <c r="M222" s="40">
        <v>0</v>
      </c>
      <c r="N222" s="40">
        <v>0</v>
      </c>
      <c r="O222" s="40">
        <v>3610.07</v>
      </c>
      <c r="P222" s="40">
        <v>0</v>
      </c>
      <c r="Q222" s="40">
        <v>0</v>
      </c>
      <c r="R222" s="40">
        <v>321.79000000000002</v>
      </c>
      <c r="S222" s="40">
        <v>0</v>
      </c>
      <c r="T222" s="40">
        <v>0</v>
      </c>
      <c r="U222" s="40">
        <v>0</v>
      </c>
      <c r="V222" s="40">
        <v>3610.07</v>
      </c>
      <c r="W222" s="40">
        <v>0</v>
      </c>
      <c r="X222" s="40">
        <v>0</v>
      </c>
      <c r="Y222" s="40">
        <v>0</v>
      </c>
      <c r="Z222" s="40">
        <v>0</v>
      </c>
      <c r="AA222" s="40">
        <v>134.22</v>
      </c>
      <c r="AB222" s="40">
        <v>722.01</v>
      </c>
      <c r="AC222" s="40">
        <v>209.38</v>
      </c>
      <c r="AD222" s="40">
        <v>1387.41</v>
      </c>
      <c r="AE222" s="49">
        <f t="shared" si="56"/>
        <v>0</v>
      </c>
      <c r="AF222" s="49">
        <f t="shared" si="57"/>
        <v>9.9999999999909051E-3</v>
      </c>
      <c r="AG222" t="s">
        <v>284</v>
      </c>
      <c r="AH222" s="55">
        <v>3610.07</v>
      </c>
      <c r="AI222">
        <v>288.8</v>
      </c>
      <c r="AJ222" s="49">
        <f t="shared" si="52"/>
        <v>0</v>
      </c>
      <c r="AK222" s="49">
        <f t="shared" si="53"/>
        <v>0</v>
      </c>
      <c r="AL222" t="s">
        <v>284</v>
      </c>
      <c r="AM222" s="81">
        <v>3610.07</v>
      </c>
      <c r="AN222" s="81">
        <v>321.79000000000002</v>
      </c>
      <c r="AO222" s="81">
        <v>0</v>
      </c>
      <c r="AP222" s="81">
        <v>0</v>
      </c>
    </row>
    <row r="223" spans="1:42">
      <c r="A223" s="38" t="s">
        <v>285</v>
      </c>
      <c r="B223" s="38" t="s">
        <v>134</v>
      </c>
      <c r="C223" s="38" t="s">
        <v>65</v>
      </c>
      <c r="D223" s="38" t="s">
        <v>66</v>
      </c>
      <c r="E223" s="39">
        <v>3251.49</v>
      </c>
      <c r="F223" s="39">
        <v>0</v>
      </c>
      <c r="G223" s="39">
        <v>0</v>
      </c>
      <c r="H223" s="40">
        <v>0</v>
      </c>
      <c r="I223" s="40">
        <v>0</v>
      </c>
      <c r="J223" s="40">
        <v>260.12</v>
      </c>
      <c r="K223" s="40">
        <v>0</v>
      </c>
      <c r="L223" s="40">
        <v>0</v>
      </c>
      <c r="M223" s="40">
        <v>0</v>
      </c>
      <c r="N223" s="40">
        <v>0</v>
      </c>
      <c r="O223" s="40">
        <v>3251.49</v>
      </c>
      <c r="P223" s="40">
        <v>0</v>
      </c>
      <c r="Q223" s="40">
        <v>0</v>
      </c>
      <c r="R223" s="40">
        <v>278.76</v>
      </c>
      <c r="S223" s="40">
        <v>0</v>
      </c>
      <c r="T223" s="40">
        <v>0</v>
      </c>
      <c r="U223" s="40">
        <v>0</v>
      </c>
      <c r="V223" s="40">
        <v>3251.49</v>
      </c>
      <c r="W223" s="40">
        <v>0</v>
      </c>
      <c r="X223" s="40">
        <v>0</v>
      </c>
      <c r="Y223" s="40">
        <v>0</v>
      </c>
      <c r="Z223" s="40">
        <v>0</v>
      </c>
      <c r="AA223" s="40">
        <v>120.89</v>
      </c>
      <c r="AB223" s="40">
        <v>650.29999999999995</v>
      </c>
      <c r="AC223" s="40">
        <v>188.59</v>
      </c>
      <c r="AD223" s="40">
        <v>1238.53</v>
      </c>
      <c r="AE223" s="49">
        <f t="shared" si="56"/>
        <v>0</v>
      </c>
      <c r="AF223" s="49">
        <f t="shared" si="57"/>
        <v>9.9999999999909051E-3</v>
      </c>
      <c r="AG223" t="s">
        <v>285</v>
      </c>
      <c r="AH223" s="55">
        <v>3251.49</v>
      </c>
      <c r="AI223">
        <v>260.11</v>
      </c>
      <c r="AJ223" s="49">
        <f t="shared" si="52"/>
        <v>0</v>
      </c>
      <c r="AK223" s="49">
        <f t="shared" si="53"/>
        <v>0</v>
      </c>
      <c r="AL223" t="s">
        <v>285</v>
      </c>
      <c r="AM223" s="81">
        <v>3251.49</v>
      </c>
      <c r="AN223" s="81">
        <v>278.76</v>
      </c>
      <c r="AO223" s="81">
        <v>0</v>
      </c>
      <c r="AP223" s="81">
        <v>0</v>
      </c>
    </row>
    <row r="224" spans="1:42">
      <c r="A224" s="38" t="s">
        <v>286</v>
      </c>
      <c r="B224" s="38" t="s">
        <v>68</v>
      </c>
      <c r="C224" s="38" t="s">
        <v>65</v>
      </c>
      <c r="D224" s="38" t="s">
        <v>66</v>
      </c>
      <c r="E224" s="39">
        <v>6120.73</v>
      </c>
      <c r="F224" s="39">
        <v>0</v>
      </c>
      <c r="G224" s="39">
        <v>0</v>
      </c>
      <c r="H224" s="40">
        <v>0</v>
      </c>
      <c r="I224" s="40">
        <v>0</v>
      </c>
      <c r="J224" s="40">
        <v>489.66</v>
      </c>
      <c r="K224" s="40">
        <v>0</v>
      </c>
      <c r="L224" s="40">
        <v>0</v>
      </c>
      <c r="M224" s="40">
        <v>0</v>
      </c>
      <c r="N224" s="40">
        <v>0</v>
      </c>
      <c r="O224" s="40">
        <v>6120.73</v>
      </c>
      <c r="P224" s="40">
        <v>0</v>
      </c>
      <c r="Q224" s="40">
        <v>0</v>
      </c>
      <c r="R224" s="40">
        <v>658.4</v>
      </c>
      <c r="S224" s="40">
        <v>0</v>
      </c>
      <c r="T224" s="40">
        <v>0</v>
      </c>
      <c r="U224" s="40">
        <v>0</v>
      </c>
      <c r="V224" s="40">
        <v>6120.73</v>
      </c>
      <c r="W224" s="40">
        <v>0</v>
      </c>
      <c r="X224" s="40">
        <v>429.73</v>
      </c>
      <c r="Y224" s="40">
        <v>0</v>
      </c>
      <c r="Z224" s="40">
        <v>0</v>
      </c>
      <c r="AA224" s="40">
        <v>227.56</v>
      </c>
      <c r="AB224" s="40">
        <v>1224.1500000000001</v>
      </c>
      <c r="AC224" s="40">
        <v>355</v>
      </c>
      <c r="AD224" s="40">
        <v>2465.11</v>
      </c>
      <c r="AE224" s="49">
        <f t="shared" si="56"/>
        <v>0</v>
      </c>
      <c r="AF224" s="49">
        <f t="shared" si="57"/>
        <v>1.0000000000047748E-2</v>
      </c>
      <c r="AG224" t="s">
        <v>286</v>
      </c>
      <c r="AH224" s="55">
        <v>6120.73</v>
      </c>
      <c r="AI224">
        <v>489.65</v>
      </c>
      <c r="AJ224" s="49">
        <f t="shared" si="52"/>
        <v>0</v>
      </c>
      <c r="AK224" s="49">
        <f t="shared" si="53"/>
        <v>0</v>
      </c>
      <c r="AL224" t="s">
        <v>286</v>
      </c>
      <c r="AM224" s="81">
        <v>6120.73</v>
      </c>
      <c r="AN224" s="81">
        <v>658.4</v>
      </c>
      <c r="AO224" s="81">
        <v>0</v>
      </c>
      <c r="AP224" s="81">
        <v>0</v>
      </c>
    </row>
    <row r="225" spans="1:42">
      <c r="A225" s="38" t="s">
        <v>287</v>
      </c>
      <c r="B225" s="38" t="s">
        <v>68</v>
      </c>
      <c r="C225" s="38" t="s">
        <v>65</v>
      </c>
      <c r="D225" s="38" t="s">
        <v>66</v>
      </c>
      <c r="E225" s="39">
        <v>6970.32</v>
      </c>
      <c r="F225" s="39">
        <v>0</v>
      </c>
      <c r="G225" s="39">
        <v>0</v>
      </c>
      <c r="H225" s="40">
        <v>0</v>
      </c>
      <c r="I225" s="40">
        <v>0</v>
      </c>
      <c r="J225" s="40">
        <v>557.63</v>
      </c>
      <c r="K225" s="40">
        <v>0</v>
      </c>
      <c r="L225" s="40">
        <v>0</v>
      </c>
      <c r="M225" s="40">
        <v>0</v>
      </c>
      <c r="N225" s="40">
        <v>0</v>
      </c>
      <c r="O225" s="40">
        <v>6970.32</v>
      </c>
      <c r="P225" s="40">
        <v>0</v>
      </c>
      <c r="Q225" s="40">
        <v>0</v>
      </c>
      <c r="R225" s="40">
        <v>777.34</v>
      </c>
      <c r="S225" s="40">
        <v>0</v>
      </c>
      <c r="T225" s="40">
        <v>0</v>
      </c>
      <c r="U225" s="40">
        <v>0</v>
      </c>
      <c r="V225" s="40">
        <v>6970.32</v>
      </c>
      <c r="W225" s="40">
        <v>0</v>
      </c>
      <c r="X225" s="40">
        <v>743.78</v>
      </c>
      <c r="Y225" s="40">
        <v>0</v>
      </c>
      <c r="Z225" s="40">
        <v>0</v>
      </c>
      <c r="AA225" s="40">
        <v>259.14999999999998</v>
      </c>
      <c r="AB225" s="40">
        <v>1394.06</v>
      </c>
      <c r="AC225" s="40">
        <v>404.28</v>
      </c>
      <c r="AD225" s="40">
        <v>2834.83</v>
      </c>
      <c r="AE225" s="49">
        <f t="shared" si="56"/>
        <v>0</v>
      </c>
      <c r="AF225" s="49">
        <f t="shared" si="57"/>
        <v>9.9999999999909051E-3</v>
      </c>
      <c r="AG225" t="s">
        <v>287</v>
      </c>
      <c r="AH225" s="55">
        <v>6970.32</v>
      </c>
      <c r="AI225">
        <v>557.62</v>
      </c>
      <c r="AJ225" s="49">
        <f t="shared" si="52"/>
        <v>0</v>
      </c>
      <c r="AK225" s="49">
        <f t="shared" si="53"/>
        <v>0</v>
      </c>
      <c r="AL225" t="s">
        <v>287</v>
      </c>
      <c r="AM225" s="81">
        <v>6970.32</v>
      </c>
      <c r="AN225" s="81">
        <v>777.34</v>
      </c>
      <c r="AO225" s="81">
        <v>0</v>
      </c>
      <c r="AP225" s="81">
        <v>0</v>
      </c>
    </row>
    <row r="226" spans="1:42">
      <c r="A226" s="38" t="s">
        <v>288</v>
      </c>
      <c r="B226" s="38" t="s">
        <v>68</v>
      </c>
      <c r="C226" s="38" t="s">
        <v>65</v>
      </c>
      <c r="D226" s="38" t="s">
        <v>66</v>
      </c>
      <c r="E226" s="39">
        <v>2510.62</v>
      </c>
      <c r="F226" s="39">
        <v>0</v>
      </c>
      <c r="G226" s="39">
        <v>0</v>
      </c>
      <c r="H226" s="40">
        <v>0</v>
      </c>
      <c r="I226" s="40">
        <v>0</v>
      </c>
      <c r="J226" s="40">
        <v>200.85</v>
      </c>
      <c r="K226" s="40">
        <v>0</v>
      </c>
      <c r="L226" s="40">
        <v>0</v>
      </c>
      <c r="M226" s="40">
        <v>0</v>
      </c>
      <c r="N226" s="40">
        <v>0</v>
      </c>
      <c r="O226" s="40">
        <v>2510.62</v>
      </c>
      <c r="P226" s="40">
        <v>0</v>
      </c>
      <c r="Q226" s="40">
        <v>0</v>
      </c>
      <c r="R226" s="40">
        <v>201.63</v>
      </c>
      <c r="S226" s="40">
        <v>0</v>
      </c>
      <c r="T226" s="40">
        <v>0</v>
      </c>
      <c r="U226" s="40">
        <v>0</v>
      </c>
      <c r="V226" s="40">
        <v>2510.62</v>
      </c>
      <c r="W226" s="40">
        <v>0</v>
      </c>
      <c r="X226" s="40">
        <v>0</v>
      </c>
      <c r="Y226" s="40">
        <v>0</v>
      </c>
      <c r="Z226" s="40">
        <v>0</v>
      </c>
      <c r="AA226" s="40">
        <v>93.34</v>
      </c>
      <c r="AB226" s="40">
        <v>502.12</v>
      </c>
      <c r="AC226" s="40">
        <v>145.62</v>
      </c>
      <c r="AD226" s="40">
        <v>942.71</v>
      </c>
      <c r="AE226" s="49">
        <f t="shared" si="56"/>
        <v>0</v>
      </c>
      <c r="AF226" s="49">
        <f t="shared" si="57"/>
        <v>9.9999999999909051E-3</v>
      </c>
      <c r="AG226" t="s">
        <v>288</v>
      </c>
      <c r="AH226" s="55">
        <v>2510.62</v>
      </c>
      <c r="AI226">
        <v>200.84</v>
      </c>
      <c r="AJ226" s="49">
        <f t="shared" si="52"/>
        <v>0</v>
      </c>
      <c r="AK226" s="49">
        <f t="shared" si="53"/>
        <v>0</v>
      </c>
      <c r="AL226" t="s">
        <v>288</v>
      </c>
      <c r="AM226" s="81">
        <v>2510.62</v>
      </c>
      <c r="AN226" s="81">
        <v>201.63</v>
      </c>
      <c r="AO226" s="81">
        <v>0</v>
      </c>
      <c r="AP226" s="81">
        <v>0</v>
      </c>
    </row>
    <row r="227" spans="1:42">
      <c r="A227" s="38" t="s">
        <v>289</v>
      </c>
      <c r="B227" s="38" t="s">
        <v>108</v>
      </c>
      <c r="C227" s="38" t="s">
        <v>65</v>
      </c>
      <c r="D227" s="38" t="s">
        <v>109</v>
      </c>
      <c r="E227" s="39">
        <v>266.67</v>
      </c>
      <c r="F227" s="39">
        <v>0</v>
      </c>
      <c r="G227" s="39">
        <v>0</v>
      </c>
      <c r="H227" s="40">
        <v>0</v>
      </c>
      <c r="I227" s="40">
        <v>0</v>
      </c>
      <c r="J227" s="40">
        <v>5.33</v>
      </c>
      <c r="K227" s="40">
        <v>0</v>
      </c>
      <c r="L227" s="40">
        <v>0</v>
      </c>
      <c r="M227" s="40">
        <v>0</v>
      </c>
      <c r="N227" s="40">
        <v>0</v>
      </c>
      <c r="O227" s="40">
        <v>266.67</v>
      </c>
      <c r="P227" s="40">
        <v>0</v>
      </c>
      <c r="Q227" s="40">
        <v>0</v>
      </c>
      <c r="R227" s="40">
        <v>20</v>
      </c>
      <c r="S227" s="40">
        <v>0</v>
      </c>
      <c r="T227" s="40">
        <v>0</v>
      </c>
      <c r="U227" s="40">
        <v>0</v>
      </c>
      <c r="V227" s="40">
        <v>266.67</v>
      </c>
      <c r="W227" s="40">
        <v>0</v>
      </c>
      <c r="X227" s="40">
        <v>0</v>
      </c>
      <c r="Y227" s="40">
        <v>0</v>
      </c>
      <c r="Z227" s="40">
        <v>0</v>
      </c>
      <c r="AA227" s="40">
        <v>9.91</v>
      </c>
      <c r="AB227" s="40">
        <v>53.33</v>
      </c>
      <c r="AC227" s="40">
        <v>15.47</v>
      </c>
      <c r="AD227" s="40">
        <v>98.72</v>
      </c>
      <c r="AE227" s="49">
        <f t="shared" si="56"/>
        <v>0</v>
      </c>
      <c r="AF227" s="49">
        <f t="shared" si="57"/>
        <v>0</v>
      </c>
      <c r="AG227" t="s">
        <v>289</v>
      </c>
      <c r="AH227">
        <v>266.67</v>
      </c>
      <c r="AI227">
        <v>5.33</v>
      </c>
      <c r="AJ227" s="49">
        <f t="shared" si="52"/>
        <v>0</v>
      </c>
      <c r="AK227" s="49">
        <f t="shared" si="53"/>
        <v>0</v>
      </c>
      <c r="AL227" t="s">
        <v>289</v>
      </c>
      <c r="AM227" s="81">
        <v>266.67</v>
      </c>
      <c r="AN227" s="81">
        <v>20</v>
      </c>
      <c r="AO227" s="81">
        <v>0</v>
      </c>
      <c r="AP227" s="81">
        <v>0</v>
      </c>
    </row>
    <row r="228" spans="1:42">
      <c r="A228" s="38" t="s">
        <v>290</v>
      </c>
      <c r="B228" s="38" t="s">
        <v>152</v>
      </c>
      <c r="C228" s="38" t="s">
        <v>82</v>
      </c>
      <c r="D228" s="38" t="s">
        <v>66</v>
      </c>
      <c r="E228" s="39">
        <v>0.81</v>
      </c>
      <c r="F228" s="39">
        <v>0</v>
      </c>
      <c r="G228" s="39">
        <v>0</v>
      </c>
      <c r="H228" s="40">
        <v>157.07</v>
      </c>
      <c r="I228" s="40">
        <v>0</v>
      </c>
      <c r="J228" s="40">
        <v>0.06</v>
      </c>
      <c r="K228" s="40">
        <v>0</v>
      </c>
      <c r="L228" s="40">
        <v>0</v>
      </c>
      <c r="M228" s="40">
        <v>12.57</v>
      </c>
      <c r="N228" s="40">
        <v>0</v>
      </c>
      <c r="O228" s="40">
        <v>0.81</v>
      </c>
      <c r="P228" s="40">
        <v>157.07</v>
      </c>
      <c r="Q228" s="40">
        <v>0</v>
      </c>
      <c r="R228" s="40">
        <v>0.06</v>
      </c>
      <c r="S228" s="40">
        <v>11.78</v>
      </c>
      <c r="T228" s="40">
        <v>0</v>
      </c>
      <c r="U228" s="40">
        <v>0</v>
      </c>
      <c r="V228" s="40">
        <v>0.81</v>
      </c>
      <c r="W228" s="40">
        <v>0</v>
      </c>
      <c r="X228" s="40">
        <v>0</v>
      </c>
      <c r="Y228" s="40">
        <v>0</v>
      </c>
      <c r="Z228" s="40">
        <v>0</v>
      </c>
      <c r="AA228" s="40">
        <v>5.87</v>
      </c>
      <c r="AB228" s="40">
        <v>31.58</v>
      </c>
      <c r="AC228" s="40">
        <v>9.16</v>
      </c>
      <c r="AD228" s="40">
        <v>58.44</v>
      </c>
      <c r="AE228" s="49">
        <f t="shared" ref="AE228:AE238" si="58">(E228+F228+G228+H228+I228)-AH228</f>
        <v>157.88</v>
      </c>
      <c r="AF228" s="49">
        <f t="shared" ref="AF228:AF238" si="59">(J228+K228+L228+M228+N228)-AI228</f>
        <v>12.63</v>
      </c>
      <c r="AJ228" s="49">
        <f t="shared" si="52"/>
        <v>0</v>
      </c>
      <c r="AK228" s="49">
        <f t="shared" si="53"/>
        <v>0</v>
      </c>
      <c r="AL228" t="s">
        <v>290</v>
      </c>
      <c r="AM228" s="81">
        <v>0.81</v>
      </c>
      <c r="AN228" s="81">
        <v>0.06</v>
      </c>
      <c r="AO228" s="81">
        <v>157.07</v>
      </c>
      <c r="AP228" s="81">
        <v>11.78</v>
      </c>
    </row>
    <row r="229" spans="1:42">
      <c r="A229" s="38" t="s">
        <v>291</v>
      </c>
      <c r="B229" s="38" t="s">
        <v>68</v>
      </c>
      <c r="C229" s="38" t="s">
        <v>65</v>
      </c>
      <c r="D229" s="38" t="s">
        <v>66</v>
      </c>
      <c r="E229" s="39">
        <v>3561.74</v>
      </c>
      <c r="F229" s="39">
        <v>0</v>
      </c>
      <c r="G229" s="39">
        <v>0</v>
      </c>
      <c r="H229" s="40">
        <v>0</v>
      </c>
      <c r="I229" s="40">
        <v>0</v>
      </c>
      <c r="J229" s="40">
        <v>284.94</v>
      </c>
      <c r="K229" s="40">
        <v>0</v>
      </c>
      <c r="L229" s="40">
        <v>0</v>
      </c>
      <c r="M229" s="40">
        <v>0</v>
      </c>
      <c r="N229" s="40">
        <v>0</v>
      </c>
      <c r="O229" s="40">
        <v>3561.74</v>
      </c>
      <c r="P229" s="40">
        <v>0</v>
      </c>
      <c r="Q229" s="40">
        <v>0</v>
      </c>
      <c r="R229" s="40">
        <v>315.99</v>
      </c>
      <c r="S229" s="40">
        <v>0</v>
      </c>
      <c r="T229" s="40">
        <v>0</v>
      </c>
      <c r="U229" s="40">
        <v>0</v>
      </c>
      <c r="V229" s="40">
        <v>3561.74</v>
      </c>
      <c r="W229" s="40">
        <v>0</v>
      </c>
      <c r="X229" s="40">
        <v>0</v>
      </c>
      <c r="Y229" s="40">
        <v>0</v>
      </c>
      <c r="Z229" s="40">
        <v>0</v>
      </c>
      <c r="AA229" s="40">
        <v>132.41999999999999</v>
      </c>
      <c r="AB229" s="40">
        <v>712.35</v>
      </c>
      <c r="AC229" s="40">
        <v>206.58</v>
      </c>
      <c r="AD229" s="40">
        <v>1367.34</v>
      </c>
      <c r="AE229" s="49">
        <f t="shared" si="58"/>
        <v>0</v>
      </c>
      <c r="AF229" s="49">
        <f t="shared" si="59"/>
        <v>9.9999999999909051E-3</v>
      </c>
      <c r="AG229" t="s">
        <v>291</v>
      </c>
      <c r="AH229" s="55">
        <v>3561.74</v>
      </c>
      <c r="AI229">
        <v>284.93</v>
      </c>
      <c r="AJ229" s="49">
        <f t="shared" si="52"/>
        <v>0</v>
      </c>
      <c r="AK229" s="49">
        <f t="shared" si="53"/>
        <v>0</v>
      </c>
      <c r="AL229" t="s">
        <v>291</v>
      </c>
      <c r="AM229" s="81">
        <v>3561.74</v>
      </c>
      <c r="AN229" s="81">
        <v>315.99</v>
      </c>
      <c r="AO229" s="81">
        <v>0</v>
      </c>
      <c r="AP229" s="81">
        <v>0</v>
      </c>
    </row>
    <row r="230" spans="1:42">
      <c r="A230" s="38" t="s">
        <v>292</v>
      </c>
      <c r="B230" s="38" t="s">
        <v>68</v>
      </c>
      <c r="C230" s="38" t="s">
        <v>65</v>
      </c>
      <c r="D230" s="38" t="s">
        <v>66</v>
      </c>
      <c r="E230" s="39">
        <v>3092.27</v>
      </c>
      <c r="F230" s="39">
        <v>0</v>
      </c>
      <c r="G230" s="39">
        <v>0</v>
      </c>
      <c r="H230" s="40">
        <v>0</v>
      </c>
      <c r="I230" s="40">
        <v>0</v>
      </c>
      <c r="J230" s="40">
        <v>247.38</v>
      </c>
      <c r="K230" s="40">
        <v>0</v>
      </c>
      <c r="L230" s="40">
        <v>0</v>
      </c>
      <c r="M230" s="40">
        <v>0</v>
      </c>
      <c r="N230" s="40">
        <v>0</v>
      </c>
      <c r="O230" s="40">
        <v>3092.27</v>
      </c>
      <c r="P230" s="40">
        <v>0</v>
      </c>
      <c r="Q230" s="40">
        <v>0</v>
      </c>
      <c r="R230" s="40">
        <v>259.66000000000003</v>
      </c>
      <c r="S230" s="40">
        <v>0</v>
      </c>
      <c r="T230" s="40">
        <v>0</v>
      </c>
      <c r="U230" s="40">
        <v>0</v>
      </c>
      <c r="V230" s="40">
        <v>3092.27</v>
      </c>
      <c r="W230" s="40">
        <v>0</v>
      </c>
      <c r="X230" s="40">
        <v>0</v>
      </c>
      <c r="Y230" s="40">
        <v>0</v>
      </c>
      <c r="Z230" s="40">
        <v>0</v>
      </c>
      <c r="AA230" s="40">
        <v>114.97</v>
      </c>
      <c r="AB230" s="40">
        <v>618.45000000000005</v>
      </c>
      <c r="AC230" s="40">
        <v>179.35</v>
      </c>
      <c r="AD230" s="40">
        <v>1172.43</v>
      </c>
      <c r="AE230" s="49">
        <f t="shared" si="58"/>
        <v>0</v>
      </c>
      <c r="AF230" s="49">
        <f t="shared" si="59"/>
        <v>0</v>
      </c>
      <c r="AG230" t="s">
        <v>292</v>
      </c>
      <c r="AH230" s="55">
        <v>3092.27</v>
      </c>
      <c r="AI230">
        <v>247.38</v>
      </c>
      <c r="AJ230" s="49">
        <f t="shared" si="52"/>
        <v>0</v>
      </c>
      <c r="AK230" s="49">
        <f t="shared" si="53"/>
        <v>0</v>
      </c>
      <c r="AL230" t="s">
        <v>292</v>
      </c>
      <c r="AM230" s="81">
        <v>3092.27</v>
      </c>
      <c r="AN230" s="81">
        <v>259.66000000000003</v>
      </c>
      <c r="AO230" s="81">
        <v>0</v>
      </c>
      <c r="AP230" s="81">
        <v>0</v>
      </c>
    </row>
    <row r="231" spans="1:42">
      <c r="A231" s="38" t="s">
        <v>293</v>
      </c>
      <c r="B231" s="38" t="s">
        <v>68</v>
      </c>
      <c r="C231" s="38" t="s">
        <v>65</v>
      </c>
      <c r="D231" s="38" t="s">
        <v>66</v>
      </c>
      <c r="E231" s="39">
        <v>3856.12</v>
      </c>
      <c r="F231" s="39">
        <v>0</v>
      </c>
      <c r="G231" s="39">
        <v>0</v>
      </c>
      <c r="H231" s="40">
        <v>0</v>
      </c>
      <c r="I231" s="40">
        <v>0</v>
      </c>
      <c r="J231" s="40">
        <v>308.49</v>
      </c>
      <c r="K231" s="40">
        <v>0</v>
      </c>
      <c r="L231" s="40">
        <v>0</v>
      </c>
      <c r="M231" s="40">
        <v>0</v>
      </c>
      <c r="N231" s="40">
        <v>0</v>
      </c>
      <c r="O231" s="40">
        <v>3856.12</v>
      </c>
      <c r="P231" s="40">
        <v>0</v>
      </c>
      <c r="Q231" s="40">
        <v>0</v>
      </c>
      <c r="R231" s="40">
        <v>351.32</v>
      </c>
      <c r="S231" s="40">
        <v>0</v>
      </c>
      <c r="T231" s="40">
        <v>0</v>
      </c>
      <c r="U231" s="40">
        <v>0</v>
      </c>
      <c r="V231" s="40">
        <v>3856.12</v>
      </c>
      <c r="W231" s="40">
        <v>0</v>
      </c>
      <c r="X231" s="40">
        <v>0</v>
      </c>
      <c r="Y231" s="40">
        <v>0</v>
      </c>
      <c r="Z231" s="40">
        <v>0</v>
      </c>
      <c r="AA231" s="40">
        <v>143.37</v>
      </c>
      <c r="AB231" s="40">
        <v>771.22</v>
      </c>
      <c r="AC231" s="40">
        <v>223.65</v>
      </c>
      <c r="AD231" s="40">
        <v>1489.57</v>
      </c>
      <c r="AE231" s="49">
        <f t="shared" si="58"/>
        <v>0</v>
      </c>
      <c r="AF231" s="49">
        <f t="shared" si="59"/>
        <v>9.9999999999909051E-3</v>
      </c>
      <c r="AG231" t="s">
        <v>293</v>
      </c>
      <c r="AH231" s="55">
        <v>3856.12</v>
      </c>
      <c r="AI231">
        <v>308.48</v>
      </c>
      <c r="AJ231" s="49">
        <f t="shared" si="52"/>
        <v>0</v>
      </c>
      <c r="AK231" s="49">
        <f t="shared" si="53"/>
        <v>0</v>
      </c>
      <c r="AL231" t="s">
        <v>293</v>
      </c>
      <c r="AM231" s="81">
        <v>3856.12</v>
      </c>
      <c r="AN231" s="81">
        <v>351.32</v>
      </c>
      <c r="AO231" s="81">
        <v>0</v>
      </c>
      <c r="AP231" s="81">
        <v>0</v>
      </c>
    </row>
    <row r="232" spans="1:42">
      <c r="A232" s="38" t="s">
        <v>294</v>
      </c>
      <c r="B232" s="38" t="s">
        <v>68</v>
      </c>
      <c r="C232" s="38" t="s">
        <v>65</v>
      </c>
      <c r="D232" s="38" t="s">
        <v>66</v>
      </c>
      <c r="E232" s="39">
        <v>6542.81</v>
      </c>
      <c r="F232" s="39">
        <v>0</v>
      </c>
      <c r="G232" s="39">
        <v>0</v>
      </c>
      <c r="H232" s="40">
        <v>0</v>
      </c>
      <c r="I232" s="40">
        <v>0</v>
      </c>
      <c r="J232" s="40">
        <v>523.41999999999996</v>
      </c>
      <c r="K232" s="40">
        <v>0</v>
      </c>
      <c r="L232" s="40">
        <v>0</v>
      </c>
      <c r="M232" s="40">
        <v>0</v>
      </c>
      <c r="N232" s="40">
        <v>0</v>
      </c>
      <c r="O232" s="40">
        <v>6542.81</v>
      </c>
      <c r="P232" s="40">
        <v>0</v>
      </c>
      <c r="Q232" s="40">
        <v>0</v>
      </c>
      <c r="R232" s="40">
        <v>717.49</v>
      </c>
      <c r="S232" s="40">
        <v>0</v>
      </c>
      <c r="T232" s="40">
        <v>0</v>
      </c>
      <c r="U232" s="40">
        <v>0</v>
      </c>
      <c r="V232" s="40">
        <v>6542.81</v>
      </c>
      <c r="W232" s="40">
        <v>0</v>
      </c>
      <c r="X232" s="40">
        <v>585.75</v>
      </c>
      <c r="Y232" s="40">
        <v>0</v>
      </c>
      <c r="Z232" s="40">
        <v>0</v>
      </c>
      <c r="AA232" s="40">
        <v>243.26</v>
      </c>
      <c r="AB232" s="40">
        <v>1308.56</v>
      </c>
      <c r="AC232" s="40">
        <v>379.48</v>
      </c>
      <c r="AD232" s="40">
        <v>2648.79</v>
      </c>
      <c r="AE232" s="49">
        <f t="shared" si="58"/>
        <v>0</v>
      </c>
      <c r="AF232" s="49">
        <f t="shared" si="59"/>
        <v>0</v>
      </c>
      <c r="AG232" t="s">
        <v>294</v>
      </c>
      <c r="AH232" s="55">
        <v>6542.81</v>
      </c>
      <c r="AI232">
        <v>523.41999999999996</v>
      </c>
      <c r="AJ232" s="49">
        <f t="shared" si="52"/>
        <v>0</v>
      </c>
      <c r="AK232" s="49">
        <f t="shared" si="53"/>
        <v>0</v>
      </c>
      <c r="AL232" t="s">
        <v>294</v>
      </c>
      <c r="AM232" s="81">
        <v>6542.81</v>
      </c>
      <c r="AN232" s="81">
        <v>717.49</v>
      </c>
      <c r="AO232" s="81">
        <v>0</v>
      </c>
      <c r="AP232" s="81">
        <v>0</v>
      </c>
    </row>
    <row r="233" spans="1:42">
      <c r="A233" s="38" t="s">
        <v>295</v>
      </c>
      <c r="B233" s="38" t="s">
        <v>68</v>
      </c>
      <c r="C233" s="38" t="s">
        <v>65</v>
      </c>
      <c r="D233" s="38" t="s">
        <v>66</v>
      </c>
      <c r="E233" s="39">
        <v>6644.24</v>
      </c>
      <c r="F233" s="39">
        <v>0</v>
      </c>
      <c r="G233" s="39">
        <v>0</v>
      </c>
      <c r="H233" s="40">
        <v>0</v>
      </c>
      <c r="I233" s="40">
        <v>0</v>
      </c>
      <c r="J233" s="40">
        <v>531.54</v>
      </c>
      <c r="K233" s="40">
        <v>0</v>
      </c>
      <c r="L233" s="40">
        <v>0</v>
      </c>
      <c r="M233" s="40">
        <v>0</v>
      </c>
      <c r="N233" s="40">
        <v>0</v>
      </c>
      <c r="O233" s="40">
        <v>6644.24</v>
      </c>
      <c r="P233" s="40">
        <v>0</v>
      </c>
      <c r="Q233" s="40">
        <v>0</v>
      </c>
      <c r="R233" s="40">
        <v>731.69</v>
      </c>
      <c r="S233" s="40">
        <v>0</v>
      </c>
      <c r="T233" s="40">
        <v>0</v>
      </c>
      <c r="U233" s="40">
        <v>0</v>
      </c>
      <c r="V233" s="40">
        <v>6644.24</v>
      </c>
      <c r="W233" s="40">
        <v>0</v>
      </c>
      <c r="X233" s="40">
        <v>623.24</v>
      </c>
      <c r="Y233" s="40">
        <v>0</v>
      </c>
      <c r="Z233" s="40">
        <v>0</v>
      </c>
      <c r="AA233" s="40">
        <v>247.03</v>
      </c>
      <c r="AB233" s="40">
        <v>1328.85</v>
      </c>
      <c r="AC233" s="40">
        <v>385.37</v>
      </c>
      <c r="AD233" s="40">
        <v>2692.93</v>
      </c>
      <c r="AE233" s="49">
        <f t="shared" si="58"/>
        <v>0</v>
      </c>
      <c r="AF233" s="49">
        <f t="shared" si="59"/>
        <v>9.9999999999909051E-3</v>
      </c>
      <c r="AG233" t="s">
        <v>295</v>
      </c>
      <c r="AH233" s="55">
        <v>6644.24</v>
      </c>
      <c r="AI233">
        <v>531.53</v>
      </c>
      <c r="AJ233" s="49">
        <f t="shared" si="52"/>
        <v>0</v>
      </c>
      <c r="AK233" s="49">
        <f t="shared" si="53"/>
        <v>0</v>
      </c>
      <c r="AL233" t="s">
        <v>295</v>
      </c>
      <c r="AM233" s="81">
        <v>6644.24</v>
      </c>
      <c r="AN233" s="81">
        <v>731.69</v>
      </c>
      <c r="AO233" s="81">
        <v>0</v>
      </c>
      <c r="AP233" s="81">
        <v>0</v>
      </c>
    </row>
    <row r="234" spans="1:42">
      <c r="A234" s="38" t="s">
        <v>296</v>
      </c>
      <c r="B234" s="38" t="s">
        <v>108</v>
      </c>
      <c r="C234" s="38" t="s">
        <v>65</v>
      </c>
      <c r="D234" s="38" t="s">
        <v>66</v>
      </c>
      <c r="E234" s="39">
        <v>2563.2600000000002</v>
      </c>
      <c r="F234" s="39">
        <v>0</v>
      </c>
      <c r="G234" s="39">
        <v>0</v>
      </c>
      <c r="H234" s="40">
        <v>0</v>
      </c>
      <c r="I234" s="40">
        <v>0</v>
      </c>
      <c r="J234" s="40">
        <v>205.06</v>
      </c>
      <c r="K234" s="40">
        <v>0</v>
      </c>
      <c r="L234" s="40">
        <v>0</v>
      </c>
      <c r="M234" s="40">
        <v>0</v>
      </c>
      <c r="N234" s="40">
        <v>0</v>
      </c>
      <c r="O234" s="40">
        <v>2563.2600000000002</v>
      </c>
      <c r="P234" s="40">
        <v>0</v>
      </c>
      <c r="Q234" s="40">
        <v>0</v>
      </c>
      <c r="R234" s="40">
        <v>143.6</v>
      </c>
      <c r="S234" s="40">
        <v>0</v>
      </c>
      <c r="T234" s="40">
        <v>62.77</v>
      </c>
      <c r="U234" s="40">
        <v>0</v>
      </c>
      <c r="V234" s="40">
        <v>1726.27</v>
      </c>
      <c r="W234" s="40">
        <v>0</v>
      </c>
      <c r="X234" s="40">
        <v>0</v>
      </c>
      <c r="Y234" s="40">
        <v>0</v>
      </c>
      <c r="Z234" s="40">
        <v>0</v>
      </c>
      <c r="AA234" s="40">
        <v>95.3</v>
      </c>
      <c r="AB234" s="40">
        <v>512.65</v>
      </c>
      <c r="AC234" s="40">
        <v>148.66999999999999</v>
      </c>
      <c r="AD234" s="40">
        <v>962.99</v>
      </c>
      <c r="AE234" s="49">
        <f t="shared" si="58"/>
        <v>0</v>
      </c>
      <c r="AF234" s="49">
        <f t="shared" si="59"/>
        <v>0</v>
      </c>
      <c r="AG234" t="s">
        <v>296</v>
      </c>
      <c r="AH234" s="55">
        <v>2563.2600000000002</v>
      </c>
      <c r="AI234">
        <v>205.06</v>
      </c>
      <c r="AJ234" s="49">
        <f t="shared" si="52"/>
        <v>0</v>
      </c>
      <c r="AK234" s="49">
        <f t="shared" si="53"/>
        <v>0</v>
      </c>
      <c r="AL234" t="s">
        <v>296</v>
      </c>
      <c r="AM234" s="81">
        <v>2563.2600000000002</v>
      </c>
      <c r="AN234" s="81">
        <v>206.37</v>
      </c>
      <c r="AO234" s="81">
        <v>0</v>
      </c>
      <c r="AP234" s="81">
        <v>0</v>
      </c>
    </row>
    <row r="235" spans="1:42">
      <c r="A235" s="38" t="s">
        <v>297</v>
      </c>
      <c r="B235" s="38" t="s">
        <v>96</v>
      </c>
      <c r="C235" s="38" t="s">
        <v>65</v>
      </c>
      <c r="D235" s="38" t="s">
        <v>66</v>
      </c>
      <c r="E235" s="39">
        <v>2718.65</v>
      </c>
      <c r="F235" s="39">
        <v>0</v>
      </c>
      <c r="G235" s="39">
        <v>0</v>
      </c>
      <c r="H235" s="40">
        <v>0</v>
      </c>
      <c r="I235" s="40">
        <v>0</v>
      </c>
      <c r="J235" s="40">
        <v>217.49</v>
      </c>
      <c r="K235" s="40">
        <v>0</v>
      </c>
      <c r="L235" s="40">
        <v>0</v>
      </c>
      <c r="M235" s="40">
        <v>0</v>
      </c>
      <c r="N235" s="40">
        <v>0</v>
      </c>
      <c r="O235" s="40">
        <v>2718.65</v>
      </c>
      <c r="P235" s="40">
        <v>0</v>
      </c>
      <c r="Q235" s="40">
        <v>0</v>
      </c>
      <c r="R235" s="40">
        <v>220.35</v>
      </c>
      <c r="S235" s="40">
        <v>0</v>
      </c>
      <c r="T235" s="40">
        <v>0</v>
      </c>
      <c r="U235" s="40">
        <v>0</v>
      </c>
      <c r="V235" s="40">
        <v>2718.65</v>
      </c>
      <c r="W235" s="40">
        <v>0</v>
      </c>
      <c r="X235" s="40">
        <v>0</v>
      </c>
      <c r="Y235" s="40">
        <v>0</v>
      </c>
      <c r="Z235" s="40">
        <v>0</v>
      </c>
      <c r="AA235" s="40">
        <v>101.08</v>
      </c>
      <c r="AB235" s="40">
        <v>543.73</v>
      </c>
      <c r="AC235" s="40">
        <v>157.68</v>
      </c>
      <c r="AD235" s="40">
        <v>1022.84</v>
      </c>
      <c r="AE235" s="49">
        <f t="shared" si="58"/>
        <v>0</v>
      </c>
      <c r="AF235" s="49">
        <f t="shared" si="59"/>
        <v>0</v>
      </c>
      <c r="AG235" t="s">
        <v>297</v>
      </c>
      <c r="AH235" s="55">
        <v>2718.65</v>
      </c>
      <c r="AI235">
        <v>217.49</v>
      </c>
      <c r="AJ235" s="49">
        <f t="shared" si="52"/>
        <v>0</v>
      </c>
      <c r="AK235" s="49">
        <f t="shared" si="53"/>
        <v>0</v>
      </c>
      <c r="AL235" t="s">
        <v>297</v>
      </c>
      <c r="AM235" s="81">
        <v>2718.65</v>
      </c>
      <c r="AN235" s="81">
        <v>220.35</v>
      </c>
      <c r="AO235" s="81">
        <v>0</v>
      </c>
      <c r="AP235" s="81">
        <v>0</v>
      </c>
    </row>
    <row r="236" spans="1:42">
      <c r="A236" s="38" t="s">
        <v>298</v>
      </c>
      <c r="B236" s="38" t="s">
        <v>87</v>
      </c>
      <c r="C236" s="38" t="s">
        <v>65</v>
      </c>
      <c r="D236" s="38" t="s">
        <v>66</v>
      </c>
      <c r="E236" s="39">
        <v>3567.91</v>
      </c>
      <c r="F236" s="39">
        <v>0</v>
      </c>
      <c r="G236" s="39">
        <v>0</v>
      </c>
      <c r="H236" s="40">
        <v>0</v>
      </c>
      <c r="I236" s="40">
        <v>0</v>
      </c>
      <c r="J236" s="40">
        <v>285.43</v>
      </c>
      <c r="K236" s="40">
        <v>0</v>
      </c>
      <c r="L236" s="40">
        <v>0</v>
      </c>
      <c r="M236" s="40">
        <v>0</v>
      </c>
      <c r="N236" s="40">
        <v>0</v>
      </c>
      <c r="O236" s="40">
        <v>3567.91</v>
      </c>
      <c r="P236" s="40">
        <v>0</v>
      </c>
      <c r="Q236" s="40">
        <v>0</v>
      </c>
      <c r="R236" s="40">
        <v>316.73</v>
      </c>
      <c r="S236" s="40">
        <v>0</v>
      </c>
      <c r="T236" s="40">
        <v>0</v>
      </c>
      <c r="U236" s="40">
        <v>0</v>
      </c>
      <c r="V236" s="40">
        <v>3567.91</v>
      </c>
      <c r="W236" s="40">
        <v>0</v>
      </c>
      <c r="X236" s="40">
        <v>0</v>
      </c>
      <c r="Y236" s="40">
        <v>0</v>
      </c>
      <c r="Z236" s="40">
        <v>0</v>
      </c>
      <c r="AA236" s="40">
        <v>132.65</v>
      </c>
      <c r="AB236" s="40">
        <v>713.58</v>
      </c>
      <c r="AC236" s="40">
        <v>206.94</v>
      </c>
      <c r="AD236" s="40">
        <v>1369.9</v>
      </c>
      <c r="AE236" s="49">
        <f t="shared" si="58"/>
        <v>0</v>
      </c>
      <c r="AF236" s="49">
        <f t="shared" si="59"/>
        <v>0</v>
      </c>
      <c r="AG236" t="s">
        <v>298</v>
      </c>
      <c r="AH236" s="55">
        <v>3567.91</v>
      </c>
      <c r="AI236">
        <v>285.43</v>
      </c>
      <c r="AJ236" s="49">
        <f t="shared" si="52"/>
        <v>0</v>
      </c>
      <c r="AK236" s="49">
        <f t="shared" si="53"/>
        <v>0</v>
      </c>
      <c r="AL236" t="s">
        <v>298</v>
      </c>
      <c r="AM236" s="81">
        <v>3567.91</v>
      </c>
      <c r="AN236" s="81">
        <v>316.73</v>
      </c>
      <c r="AO236" s="81">
        <v>0</v>
      </c>
      <c r="AP236" s="81">
        <v>0</v>
      </c>
    </row>
    <row r="237" spans="1:42">
      <c r="A237" s="38" t="s">
        <v>299</v>
      </c>
      <c r="B237" s="38" t="s">
        <v>108</v>
      </c>
      <c r="C237" s="38" t="s">
        <v>65</v>
      </c>
      <c r="D237" s="38" t="s">
        <v>66</v>
      </c>
      <c r="E237" s="39">
        <v>4903.7299999999996</v>
      </c>
      <c r="F237" s="39">
        <v>0</v>
      </c>
      <c r="G237" s="39">
        <v>0</v>
      </c>
      <c r="H237" s="40">
        <v>0</v>
      </c>
      <c r="I237" s="40">
        <v>0</v>
      </c>
      <c r="J237" s="40">
        <v>392.3</v>
      </c>
      <c r="K237" s="40">
        <v>0</v>
      </c>
      <c r="L237" s="40">
        <v>0</v>
      </c>
      <c r="M237" s="40">
        <v>0</v>
      </c>
      <c r="N237" s="40">
        <v>0</v>
      </c>
      <c r="O237" s="40">
        <v>4903.7299999999996</v>
      </c>
      <c r="P237" s="40">
        <v>0</v>
      </c>
      <c r="Q237" s="40">
        <v>0</v>
      </c>
      <c r="R237" s="40">
        <v>488.02</v>
      </c>
      <c r="S237" s="40">
        <v>0</v>
      </c>
      <c r="T237" s="40">
        <v>0</v>
      </c>
      <c r="U237" s="40">
        <v>0</v>
      </c>
      <c r="V237" s="40">
        <v>4903.7299999999996</v>
      </c>
      <c r="W237" s="40">
        <v>0</v>
      </c>
      <c r="X237" s="40">
        <v>0</v>
      </c>
      <c r="Y237" s="40">
        <v>0</v>
      </c>
      <c r="Z237" s="40">
        <v>0</v>
      </c>
      <c r="AA237" s="40">
        <v>182.32</v>
      </c>
      <c r="AB237" s="40">
        <v>980.75</v>
      </c>
      <c r="AC237" s="40">
        <v>284.42</v>
      </c>
      <c r="AD237" s="40">
        <v>1935.5</v>
      </c>
      <c r="AE237" s="49">
        <f t="shared" si="58"/>
        <v>0</v>
      </c>
      <c r="AF237" s="49">
        <f t="shared" si="59"/>
        <v>9.9999999999909051E-3</v>
      </c>
      <c r="AG237" t="s">
        <v>299</v>
      </c>
      <c r="AH237" s="55">
        <v>4903.7299999999996</v>
      </c>
      <c r="AI237">
        <v>392.29</v>
      </c>
      <c r="AJ237" s="49">
        <f t="shared" si="52"/>
        <v>0</v>
      </c>
      <c r="AK237" s="49">
        <f t="shared" si="53"/>
        <v>0</v>
      </c>
      <c r="AL237" t="s">
        <v>299</v>
      </c>
      <c r="AM237" s="81">
        <v>4903.7299999999996</v>
      </c>
      <c r="AN237" s="81">
        <v>488.02</v>
      </c>
      <c r="AO237" s="81">
        <v>0</v>
      </c>
      <c r="AP237" s="81">
        <v>0</v>
      </c>
    </row>
    <row r="238" spans="1:42">
      <c r="A238" s="38" t="s">
        <v>300</v>
      </c>
      <c r="B238" s="38" t="s">
        <v>68</v>
      </c>
      <c r="C238" s="38" t="s">
        <v>65</v>
      </c>
      <c r="D238" s="38" t="s">
        <v>66</v>
      </c>
      <c r="E238" s="39">
        <v>3743.53</v>
      </c>
      <c r="F238" s="39">
        <v>0</v>
      </c>
      <c r="G238" s="39">
        <v>0</v>
      </c>
      <c r="H238" s="40">
        <v>0</v>
      </c>
      <c r="I238" s="40">
        <v>0</v>
      </c>
      <c r="J238" s="40">
        <v>299.48</v>
      </c>
      <c r="K238" s="40">
        <v>0</v>
      </c>
      <c r="L238" s="40">
        <v>0</v>
      </c>
      <c r="M238" s="40">
        <v>0</v>
      </c>
      <c r="N238" s="40">
        <v>0</v>
      </c>
      <c r="O238" s="40">
        <v>3743.53</v>
      </c>
      <c r="P238" s="40">
        <v>0</v>
      </c>
      <c r="Q238" s="40">
        <v>0</v>
      </c>
      <c r="R238" s="40">
        <v>337.81</v>
      </c>
      <c r="S238" s="40">
        <v>0</v>
      </c>
      <c r="T238" s="40">
        <v>0</v>
      </c>
      <c r="U238" s="40">
        <v>0</v>
      </c>
      <c r="V238" s="40">
        <v>3743.53</v>
      </c>
      <c r="W238" s="40">
        <v>0</v>
      </c>
      <c r="X238" s="40">
        <v>0</v>
      </c>
      <c r="Y238" s="40">
        <v>0</v>
      </c>
      <c r="Z238" s="40">
        <v>0</v>
      </c>
      <c r="AA238" s="40">
        <v>139.18</v>
      </c>
      <c r="AB238" s="40">
        <v>748.71</v>
      </c>
      <c r="AC238" s="40">
        <v>217.12</v>
      </c>
      <c r="AD238" s="40">
        <v>1442.82</v>
      </c>
      <c r="AE238" s="49">
        <f t="shared" si="58"/>
        <v>0</v>
      </c>
      <c r="AF238" s="49">
        <f t="shared" si="59"/>
        <v>0</v>
      </c>
      <c r="AG238" t="s">
        <v>300</v>
      </c>
      <c r="AH238" s="55">
        <v>3743.53</v>
      </c>
      <c r="AI238">
        <v>299.48</v>
      </c>
      <c r="AJ238" s="49">
        <f t="shared" si="52"/>
        <v>0</v>
      </c>
      <c r="AK238" s="49">
        <f t="shared" si="53"/>
        <v>0</v>
      </c>
      <c r="AL238" t="s">
        <v>300</v>
      </c>
      <c r="AM238" s="81">
        <v>3743.53</v>
      </c>
      <c r="AN238" s="81">
        <v>337.81</v>
      </c>
      <c r="AO238" s="81">
        <v>0</v>
      </c>
      <c r="AP238" s="81">
        <v>0</v>
      </c>
    </row>
    <row r="239" spans="1:42">
      <c r="A239" s="38" t="s">
        <v>301</v>
      </c>
      <c r="B239" s="38" t="s">
        <v>92</v>
      </c>
      <c r="C239" s="38" t="s">
        <v>82</v>
      </c>
      <c r="D239" s="38" t="s">
        <v>66</v>
      </c>
      <c r="E239" s="39">
        <v>70.180000000000007</v>
      </c>
      <c r="F239" s="39">
        <v>4071.58</v>
      </c>
      <c r="G239" s="39">
        <v>339.3</v>
      </c>
      <c r="H239" s="40">
        <v>1017.89</v>
      </c>
      <c r="I239" s="40">
        <v>0</v>
      </c>
      <c r="J239" s="40">
        <v>5.61</v>
      </c>
      <c r="K239" s="40">
        <v>325.73</v>
      </c>
      <c r="L239" s="40">
        <v>27.14</v>
      </c>
      <c r="M239" s="40">
        <v>81.430000000000007</v>
      </c>
      <c r="N239" s="40">
        <v>0</v>
      </c>
      <c r="O239" s="40">
        <v>70.180000000000007</v>
      </c>
      <c r="P239" s="40">
        <v>1357.19</v>
      </c>
      <c r="Q239" s="40">
        <v>0</v>
      </c>
      <c r="R239" s="40">
        <v>5.26</v>
      </c>
      <c r="S239" s="40">
        <v>101.78</v>
      </c>
      <c r="T239" s="40">
        <v>0</v>
      </c>
      <c r="U239" s="40">
        <v>0</v>
      </c>
      <c r="V239" s="40">
        <v>70.180000000000007</v>
      </c>
      <c r="W239" s="40">
        <v>0</v>
      </c>
      <c r="X239" s="40">
        <v>0</v>
      </c>
      <c r="Y239" s="40">
        <v>0</v>
      </c>
      <c r="Z239" s="40">
        <v>0</v>
      </c>
      <c r="AA239" s="40">
        <v>53.07</v>
      </c>
      <c r="AB239" s="40">
        <v>285.47000000000003</v>
      </c>
      <c r="AC239" s="40">
        <v>82.79</v>
      </c>
      <c r="AD239" s="40">
        <v>528.37</v>
      </c>
      <c r="AE239" s="49">
        <f t="shared" ref="AE239:AE266" si="60">(E239+F239+G239+H239+I239)-AH239</f>
        <v>5498.9500000000007</v>
      </c>
      <c r="AF239" s="49">
        <f t="shared" ref="AF239:AF266" si="61">(J239+K239+L239+M239+N239)-AI239</f>
        <v>439.91</v>
      </c>
      <c r="AH239" s="55"/>
      <c r="AJ239" s="49">
        <f t="shared" si="52"/>
        <v>0</v>
      </c>
      <c r="AK239" s="49">
        <f t="shared" si="53"/>
        <v>0</v>
      </c>
      <c r="AL239" t="s">
        <v>301</v>
      </c>
      <c r="AM239" s="81">
        <v>70.180000000000007</v>
      </c>
      <c r="AN239" s="81">
        <v>5.26</v>
      </c>
      <c r="AO239" s="81">
        <v>1357.19</v>
      </c>
      <c r="AP239" s="81">
        <v>101.78</v>
      </c>
    </row>
    <row r="240" spans="1:42">
      <c r="A240" s="38" t="s">
        <v>302</v>
      </c>
      <c r="B240" s="38" t="s">
        <v>68</v>
      </c>
      <c r="C240" s="38" t="s">
        <v>65</v>
      </c>
      <c r="D240" s="38" t="s">
        <v>66</v>
      </c>
      <c r="E240" s="39">
        <v>7559.16</v>
      </c>
      <c r="F240" s="39">
        <v>0</v>
      </c>
      <c r="G240" s="39">
        <v>0</v>
      </c>
      <c r="H240" s="40">
        <v>0</v>
      </c>
      <c r="I240" s="40">
        <v>0</v>
      </c>
      <c r="J240" s="40">
        <v>604.73</v>
      </c>
      <c r="K240" s="40">
        <v>0</v>
      </c>
      <c r="L240" s="40">
        <v>0</v>
      </c>
      <c r="M240" s="40">
        <v>0</v>
      </c>
      <c r="N240" s="40">
        <v>0</v>
      </c>
      <c r="O240" s="40">
        <v>7559.16</v>
      </c>
      <c r="P240" s="40">
        <v>0</v>
      </c>
      <c r="Q240" s="40">
        <v>0</v>
      </c>
      <c r="R240" s="40">
        <v>859.78</v>
      </c>
      <c r="S240" s="40">
        <v>0</v>
      </c>
      <c r="T240" s="40">
        <v>0</v>
      </c>
      <c r="U240" s="40">
        <v>0</v>
      </c>
      <c r="V240" s="40">
        <v>7559.16</v>
      </c>
      <c r="W240" s="40">
        <v>0</v>
      </c>
      <c r="X240" s="40">
        <v>829.32</v>
      </c>
      <c r="Y240" s="40">
        <v>0</v>
      </c>
      <c r="Z240" s="40">
        <v>0</v>
      </c>
      <c r="AA240" s="40">
        <v>281.04000000000002</v>
      </c>
      <c r="AB240" s="40">
        <v>1511.83</v>
      </c>
      <c r="AC240" s="40">
        <v>438.43</v>
      </c>
      <c r="AD240" s="40">
        <v>3091.09</v>
      </c>
      <c r="AE240" s="49">
        <f t="shared" si="60"/>
        <v>0</v>
      </c>
      <c r="AF240" s="49">
        <f t="shared" si="61"/>
        <v>0</v>
      </c>
      <c r="AG240" t="s">
        <v>302</v>
      </c>
      <c r="AH240" s="55">
        <v>7559.16</v>
      </c>
      <c r="AI240">
        <v>604.73</v>
      </c>
      <c r="AJ240" s="49">
        <f t="shared" si="52"/>
        <v>0</v>
      </c>
      <c r="AK240" s="49">
        <f t="shared" si="53"/>
        <v>0</v>
      </c>
      <c r="AL240" t="s">
        <v>302</v>
      </c>
      <c r="AM240" s="81">
        <v>7559.16</v>
      </c>
      <c r="AN240" s="81">
        <v>859.78</v>
      </c>
      <c r="AO240" s="81">
        <v>0</v>
      </c>
      <c r="AP240" s="81">
        <v>0</v>
      </c>
    </row>
    <row r="241" spans="1:42">
      <c r="A241" s="38" t="s">
        <v>303</v>
      </c>
      <c r="B241" s="38" t="s">
        <v>68</v>
      </c>
      <c r="C241" s="38" t="s">
        <v>65</v>
      </c>
      <c r="D241" s="38" t="s">
        <v>66</v>
      </c>
      <c r="E241" s="39">
        <v>5679.39</v>
      </c>
      <c r="F241" s="39">
        <v>0</v>
      </c>
      <c r="G241" s="39">
        <v>0</v>
      </c>
      <c r="H241" s="40">
        <v>0</v>
      </c>
      <c r="I241" s="40">
        <v>0</v>
      </c>
      <c r="J241" s="40">
        <v>454.35</v>
      </c>
      <c r="K241" s="40">
        <v>0</v>
      </c>
      <c r="L241" s="40">
        <v>0</v>
      </c>
      <c r="M241" s="40">
        <v>0</v>
      </c>
      <c r="N241" s="40">
        <v>0</v>
      </c>
      <c r="O241" s="40">
        <v>5679.39</v>
      </c>
      <c r="P241" s="40">
        <v>0</v>
      </c>
      <c r="Q241" s="40">
        <v>0</v>
      </c>
      <c r="R241" s="40">
        <v>596.61</v>
      </c>
      <c r="S241" s="40">
        <v>0</v>
      </c>
      <c r="T241" s="40">
        <v>0</v>
      </c>
      <c r="U241" s="40">
        <v>0</v>
      </c>
      <c r="V241" s="40">
        <v>5679.39</v>
      </c>
      <c r="W241" s="40">
        <v>0</v>
      </c>
      <c r="X241" s="40">
        <v>263.68</v>
      </c>
      <c r="Y241" s="40">
        <v>0</v>
      </c>
      <c r="Z241" s="40">
        <v>0</v>
      </c>
      <c r="AA241" s="40">
        <v>211.15</v>
      </c>
      <c r="AB241" s="40">
        <v>1135.8800000000001</v>
      </c>
      <c r="AC241" s="40">
        <v>329.4</v>
      </c>
      <c r="AD241" s="40">
        <v>2273.0500000000002</v>
      </c>
      <c r="AE241" s="49">
        <f t="shared" si="60"/>
        <v>0</v>
      </c>
      <c r="AF241" s="49">
        <f t="shared" si="61"/>
        <v>0</v>
      </c>
      <c r="AG241" t="s">
        <v>303</v>
      </c>
      <c r="AH241" s="55">
        <v>5679.39</v>
      </c>
      <c r="AI241">
        <v>454.35</v>
      </c>
      <c r="AJ241" s="49">
        <f t="shared" si="52"/>
        <v>0</v>
      </c>
      <c r="AK241" s="49">
        <f t="shared" si="53"/>
        <v>0</v>
      </c>
      <c r="AL241" t="s">
        <v>303</v>
      </c>
      <c r="AM241" s="81">
        <v>5679.39</v>
      </c>
      <c r="AN241" s="81">
        <v>596.61</v>
      </c>
      <c r="AO241" s="81">
        <v>0</v>
      </c>
      <c r="AP241" s="81">
        <v>0</v>
      </c>
    </row>
    <row r="242" spans="1:42">
      <c r="A242" s="38" t="s">
        <v>304</v>
      </c>
      <c r="B242" s="38" t="s">
        <v>68</v>
      </c>
      <c r="C242" s="38" t="s">
        <v>65</v>
      </c>
      <c r="D242" s="38" t="s">
        <v>66</v>
      </c>
      <c r="E242" s="39">
        <v>4200.46</v>
      </c>
      <c r="F242" s="39">
        <v>0</v>
      </c>
      <c r="G242" s="39">
        <v>0</v>
      </c>
      <c r="H242" s="40">
        <v>0</v>
      </c>
      <c r="I242" s="40">
        <v>0</v>
      </c>
      <c r="J242" s="40">
        <v>336.04</v>
      </c>
      <c r="K242" s="40">
        <v>0</v>
      </c>
      <c r="L242" s="40">
        <v>0</v>
      </c>
      <c r="M242" s="40">
        <v>0</v>
      </c>
      <c r="N242" s="40">
        <v>0</v>
      </c>
      <c r="O242" s="40">
        <v>4200.46</v>
      </c>
      <c r="P242" s="40">
        <v>0</v>
      </c>
      <c r="Q242" s="40">
        <v>0</v>
      </c>
      <c r="R242" s="40">
        <v>392.64</v>
      </c>
      <c r="S242" s="40">
        <v>0</v>
      </c>
      <c r="T242" s="40">
        <v>0</v>
      </c>
      <c r="U242" s="40">
        <v>0</v>
      </c>
      <c r="V242" s="40">
        <v>4200.46</v>
      </c>
      <c r="W242" s="40">
        <v>0</v>
      </c>
      <c r="X242" s="40">
        <v>0</v>
      </c>
      <c r="Y242" s="40">
        <v>0</v>
      </c>
      <c r="Z242" s="40">
        <v>0</v>
      </c>
      <c r="AA242" s="40">
        <v>156.16999999999999</v>
      </c>
      <c r="AB242" s="40">
        <v>840.09</v>
      </c>
      <c r="AC242" s="40">
        <v>243.63</v>
      </c>
      <c r="AD242" s="40">
        <v>1632.53</v>
      </c>
      <c r="AE242" s="49">
        <f t="shared" si="60"/>
        <v>0</v>
      </c>
      <c r="AF242" s="49">
        <f t="shared" si="61"/>
        <v>1.0000000000047748E-2</v>
      </c>
      <c r="AG242" t="s">
        <v>304</v>
      </c>
      <c r="AH242" s="55">
        <v>4200.46</v>
      </c>
      <c r="AI242">
        <v>336.03</v>
      </c>
      <c r="AJ242" s="49">
        <f t="shared" si="52"/>
        <v>0</v>
      </c>
      <c r="AK242" s="49">
        <f t="shared" si="53"/>
        <v>0</v>
      </c>
      <c r="AL242" t="s">
        <v>304</v>
      </c>
      <c r="AM242" s="81">
        <v>4200.46</v>
      </c>
      <c r="AN242" s="81">
        <v>392.64</v>
      </c>
      <c r="AO242" s="81">
        <v>0</v>
      </c>
      <c r="AP242" s="81">
        <v>0</v>
      </c>
    </row>
    <row r="243" spans="1:42">
      <c r="A243" s="38" t="s">
        <v>305</v>
      </c>
      <c r="B243" s="38" t="s">
        <v>68</v>
      </c>
      <c r="C243" s="38" t="s">
        <v>65</v>
      </c>
      <c r="D243" s="38" t="s">
        <v>66</v>
      </c>
      <c r="E243" s="39">
        <v>5287.44</v>
      </c>
      <c r="F243" s="39">
        <v>0</v>
      </c>
      <c r="G243" s="39">
        <v>0</v>
      </c>
      <c r="H243" s="40">
        <v>0</v>
      </c>
      <c r="I243" s="40">
        <v>0</v>
      </c>
      <c r="J243" s="40">
        <v>423</v>
      </c>
      <c r="K243" s="40">
        <v>0</v>
      </c>
      <c r="L243" s="40">
        <v>0</v>
      </c>
      <c r="M243" s="40">
        <v>0</v>
      </c>
      <c r="N243" s="40">
        <v>0</v>
      </c>
      <c r="O243" s="40">
        <v>5287.44</v>
      </c>
      <c r="P243" s="40">
        <v>0</v>
      </c>
      <c r="Q243" s="40">
        <v>0</v>
      </c>
      <c r="R243" s="40">
        <v>541.74</v>
      </c>
      <c r="S243" s="40">
        <v>0</v>
      </c>
      <c r="T243" s="40">
        <v>0</v>
      </c>
      <c r="U243" s="40">
        <v>0</v>
      </c>
      <c r="V243" s="40">
        <v>5287.44</v>
      </c>
      <c r="W243" s="40">
        <v>0</v>
      </c>
      <c r="X243" s="40">
        <v>103.71</v>
      </c>
      <c r="Y243" s="40">
        <v>0</v>
      </c>
      <c r="Z243" s="40">
        <v>0</v>
      </c>
      <c r="AA243" s="40">
        <v>196.58</v>
      </c>
      <c r="AB243" s="40">
        <v>1057.49</v>
      </c>
      <c r="AC243" s="40">
        <v>306.67</v>
      </c>
      <c r="AD243" s="40">
        <v>2102.48</v>
      </c>
      <c r="AE243" s="49">
        <f t="shared" si="60"/>
        <v>0</v>
      </c>
      <c r="AF243" s="49">
        <f t="shared" si="61"/>
        <v>9.9999999999909051E-3</v>
      </c>
      <c r="AG243" t="s">
        <v>305</v>
      </c>
      <c r="AH243" s="55">
        <v>5287.44</v>
      </c>
      <c r="AI243">
        <v>422.99</v>
      </c>
      <c r="AJ243" s="49">
        <f t="shared" si="52"/>
        <v>0</v>
      </c>
      <c r="AK243" s="49">
        <f t="shared" si="53"/>
        <v>0</v>
      </c>
      <c r="AL243" t="s">
        <v>305</v>
      </c>
      <c r="AM243" s="81">
        <v>5287.44</v>
      </c>
      <c r="AN243" s="81">
        <v>541.74</v>
      </c>
      <c r="AO243" s="81">
        <v>0</v>
      </c>
      <c r="AP243" s="81">
        <v>0</v>
      </c>
    </row>
    <row r="244" spans="1:42">
      <c r="A244" s="38" t="s">
        <v>306</v>
      </c>
      <c r="B244" s="38" t="s">
        <v>68</v>
      </c>
      <c r="C244" s="38" t="s">
        <v>65</v>
      </c>
      <c r="D244" s="38" t="s">
        <v>66</v>
      </c>
      <c r="E244" s="39">
        <v>2517.6</v>
      </c>
      <c r="F244" s="39">
        <v>0</v>
      </c>
      <c r="G244" s="39">
        <v>0</v>
      </c>
      <c r="H244" s="40">
        <v>0</v>
      </c>
      <c r="I244" s="40">
        <v>0</v>
      </c>
      <c r="J244" s="40">
        <v>201.41</v>
      </c>
      <c r="K244" s="40">
        <v>0</v>
      </c>
      <c r="L244" s="40">
        <v>0</v>
      </c>
      <c r="M244" s="40">
        <v>0</v>
      </c>
      <c r="N244" s="40">
        <v>0</v>
      </c>
      <c r="O244" s="40">
        <v>2517.6</v>
      </c>
      <c r="P244" s="40">
        <v>0</v>
      </c>
      <c r="Q244" s="40">
        <v>0</v>
      </c>
      <c r="R244" s="40">
        <v>202.26</v>
      </c>
      <c r="S244" s="40">
        <v>0</v>
      </c>
      <c r="T244" s="40">
        <v>0</v>
      </c>
      <c r="U244" s="40">
        <v>0</v>
      </c>
      <c r="V244" s="40">
        <v>2517.6</v>
      </c>
      <c r="W244" s="40">
        <v>0</v>
      </c>
      <c r="X244" s="40">
        <v>0</v>
      </c>
      <c r="Y244" s="40">
        <v>0</v>
      </c>
      <c r="Z244" s="40">
        <v>0</v>
      </c>
      <c r="AA244" s="40">
        <v>93.6</v>
      </c>
      <c r="AB244" s="40">
        <v>503.52</v>
      </c>
      <c r="AC244" s="40">
        <v>146.02000000000001</v>
      </c>
      <c r="AD244" s="40">
        <v>945.4</v>
      </c>
      <c r="AE244" s="49">
        <f t="shared" si="60"/>
        <v>0</v>
      </c>
      <c r="AF244" s="49">
        <f t="shared" si="61"/>
        <v>9.9999999999909051E-3</v>
      </c>
      <c r="AG244" t="s">
        <v>306</v>
      </c>
      <c r="AH244" s="55">
        <v>2517.6</v>
      </c>
      <c r="AI244">
        <v>201.4</v>
      </c>
      <c r="AJ244" s="49">
        <f t="shared" si="52"/>
        <v>0</v>
      </c>
      <c r="AK244" s="49">
        <f t="shared" si="53"/>
        <v>0</v>
      </c>
      <c r="AL244" t="s">
        <v>306</v>
      </c>
      <c r="AM244" s="81">
        <v>2517.6</v>
      </c>
      <c r="AN244" s="81">
        <v>202.26</v>
      </c>
      <c r="AO244" s="81">
        <v>0</v>
      </c>
      <c r="AP244" s="81">
        <v>0</v>
      </c>
    </row>
    <row r="245" spans="1:42">
      <c r="A245" s="38" t="s">
        <v>307</v>
      </c>
      <c r="B245" s="38" t="s">
        <v>68</v>
      </c>
      <c r="C245" s="38" t="s">
        <v>65</v>
      </c>
      <c r="D245" s="38" t="s">
        <v>66</v>
      </c>
      <c r="E245" s="39">
        <v>6669.78</v>
      </c>
      <c r="F245" s="39">
        <v>0</v>
      </c>
      <c r="G245" s="39">
        <v>0</v>
      </c>
      <c r="H245" s="40">
        <v>0</v>
      </c>
      <c r="I245" s="40">
        <v>0</v>
      </c>
      <c r="J245" s="40">
        <v>533.58000000000004</v>
      </c>
      <c r="K245" s="40">
        <v>0</v>
      </c>
      <c r="L245" s="40">
        <v>0</v>
      </c>
      <c r="M245" s="40">
        <v>0</v>
      </c>
      <c r="N245" s="40">
        <v>0</v>
      </c>
      <c r="O245" s="40">
        <v>6669.78</v>
      </c>
      <c r="P245" s="40">
        <v>0</v>
      </c>
      <c r="Q245" s="40">
        <v>0</v>
      </c>
      <c r="R245" s="40">
        <v>735.27</v>
      </c>
      <c r="S245" s="40">
        <v>0</v>
      </c>
      <c r="T245" s="40">
        <v>0</v>
      </c>
      <c r="U245" s="40">
        <v>0</v>
      </c>
      <c r="V245" s="40">
        <v>6669.78</v>
      </c>
      <c r="W245" s="40">
        <v>0</v>
      </c>
      <c r="X245" s="40">
        <v>632.67999999999995</v>
      </c>
      <c r="Y245" s="40">
        <v>0</v>
      </c>
      <c r="Z245" s="40">
        <v>0</v>
      </c>
      <c r="AA245" s="40">
        <v>247.98</v>
      </c>
      <c r="AB245" s="40">
        <v>1333.96</v>
      </c>
      <c r="AC245" s="40">
        <v>386.85</v>
      </c>
      <c r="AD245" s="40">
        <v>2704.05</v>
      </c>
      <c r="AE245" s="49">
        <f t="shared" si="60"/>
        <v>0</v>
      </c>
      <c r="AF245" s="49">
        <f t="shared" si="61"/>
        <v>0</v>
      </c>
      <c r="AG245" t="s">
        <v>307</v>
      </c>
      <c r="AH245" s="55">
        <v>6669.78</v>
      </c>
      <c r="AI245">
        <v>533.58000000000004</v>
      </c>
      <c r="AJ245" s="49">
        <f t="shared" si="52"/>
        <v>0</v>
      </c>
      <c r="AK245" s="49">
        <f t="shared" si="53"/>
        <v>0</v>
      </c>
      <c r="AL245" t="s">
        <v>307</v>
      </c>
      <c r="AM245" s="81">
        <v>6669.78</v>
      </c>
      <c r="AN245" s="81">
        <v>735.27</v>
      </c>
      <c r="AO245" s="81">
        <v>0</v>
      </c>
      <c r="AP245" s="81">
        <v>0</v>
      </c>
    </row>
    <row r="246" spans="1:42">
      <c r="A246" s="38" t="s">
        <v>308</v>
      </c>
      <c r="B246" s="38" t="s">
        <v>68</v>
      </c>
      <c r="C246" s="38" t="s">
        <v>65</v>
      </c>
      <c r="D246" s="38" t="s">
        <v>66</v>
      </c>
      <c r="E246" s="39">
        <v>2652.44</v>
      </c>
      <c r="F246" s="39">
        <v>0</v>
      </c>
      <c r="G246" s="39">
        <v>0</v>
      </c>
      <c r="H246" s="40">
        <v>0</v>
      </c>
      <c r="I246" s="40">
        <v>0</v>
      </c>
      <c r="J246" s="40">
        <v>212.2</v>
      </c>
      <c r="K246" s="40">
        <v>0</v>
      </c>
      <c r="L246" s="40">
        <v>0</v>
      </c>
      <c r="M246" s="40">
        <v>0</v>
      </c>
      <c r="N246" s="40">
        <v>0</v>
      </c>
      <c r="O246" s="40">
        <v>2652.44</v>
      </c>
      <c r="P246" s="40">
        <v>0</v>
      </c>
      <c r="Q246" s="40">
        <v>0</v>
      </c>
      <c r="R246" s="40">
        <v>214.39</v>
      </c>
      <c r="S246" s="40">
        <v>0</v>
      </c>
      <c r="T246" s="40">
        <v>0</v>
      </c>
      <c r="U246" s="40">
        <v>0</v>
      </c>
      <c r="V246" s="40">
        <v>2652.44</v>
      </c>
      <c r="W246" s="40">
        <v>0</v>
      </c>
      <c r="X246" s="40">
        <v>0</v>
      </c>
      <c r="Y246" s="40">
        <v>0</v>
      </c>
      <c r="Z246" s="40">
        <v>0</v>
      </c>
      <c r="AA246" s="40">
        <v>98.62</v>
      </c>
      <c r="AB246" s="40">
        <v>530.49</v>
      </c>
      <c r="AC246" s="40">
        <v>153.84</v>
      </c>
      <c r="AD246" s="40">
        <v>997.33</v>
      </c>
      <c r="AE246" s="49">
        <f t="shared" si="60"/>
        <v>0</v>
      </c>
      <c r="AF246" s="49">
        <f t="shared" si="61"/>
        <v>9.9999999999909051E-3</v>
      </c>
      <c r="AG246" t="s">
        <v>308</v>
      </c>
      <c r="AH246" s="55">
        <v>2652.44</v>
      </c>
      <c r="AI246">
        <v>212.19</v>
      </c>
      <c r="AJ246" s="49">
        <f t="shared" si="52"/>
        <v>0</v>
      </c>
      <c r="AK246" s="49">
        <f t="shared" si="53"/>
        <v>0</v>
      </c>
      <c r="AL246" t="s">
        <v>308</v>
      </c>
      <c r="AM246" s="81">
        <v>2652.44</v>
      </c>
      <c r="AN246" s="81">
        <v>214.39</v>
      </c>
      <c r="AO246" s="81">
        <v>0</v>
      </c>
      <c r="AP246" s="81">
        <v>0</v>
      </c>
    </row>
    <row r="247" spans="1:42">
      <c r="A247" s="38" t="s">
        <v>309</v>
      </c>
      <c r="B247" s="38" t="s">
        <v>134</v>
      </c>
      <c r="C247" s="38" t="s">
        <v>65</v>
      </c>
      <c r="D247" s="38" t="s">
        <v>66</v>
      </c>
      <c r="E247" s="39">
        <v>2370.1</v>
      </c>
      <c r="F247" s="39">
        <v>0</v>
      </c>
      <c r="G247" s="39">
        <v>0</v>
      </c>
      <c r="H247" s="40">
        <v>0</v>
      </c>
      <c r="I247" s="40">
        <v>0</v>
      </c>
      <c r="J247" s="40">
        <v>189.61</v>
      </c>
      <c r="K247" s="40">
        <v>0</v>
      </c>
      <c r="L247" s="40">
        <v>0</v>
      </c>
      <c r="M247" s="40">
        <v>0</v>
      </c>
      <c r="N247" s="40">
        <v>0</v>
      </c>
      <c r="O247" s="40">
        <v>2370.1</v>
      </c>
      <c r="P247" s="40">
        <v>0</v>
      </c>
      <c r="Q247" s="40">
        <v>0</v>
      </c>
      <c r="R247" s="40">
        <v>188.98</v>
      </c>
      <c r="S247" s="40">
        <v>0</v>
      </c>
      <c r="T247" s="40">
        <v>0</v>
      </c>
      <c r="U247" s="40">
        <v>0</v>
      </c>
      <c r="V247" s="40">
        <v>2370.1</v>
      </c>
      <c r="W247" s="40">
        <v>0</v>
      </c>
      <c r="X247" s="40">
        <v>0</v>
      </c>
      <c r="Y247" s="40">
        <v>0</v>
      </c>
      <c r="Z247" s="40">
        <v>0</v>
      </c>
      <c r="AA247" s="40">
        <v>88.12</v>
      </c>
      <c r="AB247" s="40">
        <v>474.02</v>
      </c>
      <c r="AC247" s="40">
        <v>137.47</v>
      </c>
      <c r="AD247" s="40">
        <v>888.58</v>
      </c>
      <c r="AE247" s="49">
        <f t="shared" si="60"/>
        <v>0</v>
      </c>
      <c r="AF247" s="49">
        <f t="shared" si="61"/>
        <v>1.0000000000019327E-2</v>
      </c>
      <c r="AG247" t="s">
        <v>309</v>
      </c>
      <c r="AH247" s="55">
        <v>2370.1</v>
      </c>
      <c r="AI247">
        <v>189.6</v>
      </c>
      <c r="AJ247" s="49">
        <f t="shared" si="52"/>
        <v>0</v>
      </c>
      <c r="AK247" s="49">
        <f t="shared" si="53"/>
        <v>0</v>
      </c>
      <c r="AL247" t="s">
        <v>309</v>
      </c>
      <c r="AM247" s="81">
        <v>2370.1</v>
      </c>
      <c r="AN247" s="81">
        <v>188.98</v>
      </c>
      <c r="AO247" s="81">
        <v>0</v>
      </c>
      <c r="AP247" s="81">
        <v>0</v>
      </c>
    </row>
    <row r="248" spans="1:42">
      <c r="A248" s="38" t="s">
        <v>310</v>
      </c>
      <c r="B248" s="38" t="s">
        <v>124</v>
      </c>
      <c r="C248" s="38" t="s">
        <v>65</v>
      </c>
      <c r="D248" s="38" t="s">
        <v>66</v>
      </c>
      <c r="E248" s="39">
        <v>2907.74</v>
      </c>
      <c r="F248" s="39">
        <v>0</v>
      </c>
      <c r="G248" s="39">
        <v>0</v>
      </c>
      <c r="H248" s="40">
        <v>0</v>
      </c>
      <c r="I248" s="40">
        <v>0</v>
      </c>
      <c r="J248" s="40">
        <v>232.62</v>
      </c>
      <c r="K248" s="40">
        <v>0</v>
      </c>
      <c r="L248" s="40">
        <v>0</v>
      </c>
      <c r="M248" s="40">
        <v>0</v>
      </c>
      <c r="N248" s="40">
        <v>0</v>
      </c>
      <c r="O248" s="40">
        <v>2907.74</v>
      </c>
      <c r="P248" s="40">
        <v>0</v>
      </c>
      <c r="Q248" s="40">
        <v>0</v>
      </c>
      <c r="R248" s="40">
        <v>237.51</v>
      </c>
      <c r="S248" s="40">
        <v>0</v>
      </c>
      <c r="T248" s="40">
        <v>0</v>
      </c>
      <c r="U248" s="40">
        <v>0</v>
      </c>
      <c r="V248" s="40">
        <v>2907.74</v>
      </c>
      <c r="W248" s="40">
        <v>0</v>
      </c>
      <c r="X248" s="40">
        <v>0</v>
      </c>
      <c r="Y248" s="40">
        <v>0</v>
      </c>
      <c r="Z248" s="40">
        <v>0</v>
      </c>
      <c r="AA248" s="40">
        <v>108.11</v>
      </c>
      <c r="AB248" s="40">
        <v>581.54999999999995</v>
      </c>
      <c r="AC248" s="40">
        <v>168.65</v>
      </c>
      <c r="AD248" s="40">
        <v>1095.81</v>
      </c>
      <c r="AE248" s="49">
        <f t="shared" si="60"/>
        <v>0</v>
      </c>
      <c r="AF248" s="49">
        <f t="shared" si="61"/>
        <v>9.9999999999909051E-3</v>
      </c>
      <c r="AG248" t="s">
        <v>310</v>
      </c>
      <c r="AH248" s="55">
        <v>2907.74</v>
      </c>
      <c r="AI248">
        <v>232.61</v>
      </c>
      <c r="AJ248" s="49">
        <f t="shared" si="52"/>
        <v>0</v>
      </c>
      <c r="AK248" s="49">
        <f t="shared" si="53"/>
        <v>0</v>
      </c>
      <c r="AL248" t="s">
        <v>310</v>
      </c>
      <c r="AM248" s="81">
        <v>2907.74</v>
      </c>
      <c r="AN248" s="81">
        <v>237.51</v>
      </c>
      <c r="AO248" s="81">
        <v>0</v>
      </c>
      <c r="AP248" s="81">
        <v>0</v>
      </c>
    </row>
    <row r="249" spans="1:42">
      <c r="A249" s="38" t="s">
        <v>311</v>
      </c>
      <c r="B249" s="38" t="s">
        <v>87</v>
      </c>
      <c r="C249" s="38" t="s">
        <v>65</v>
      </c>
      <c r="D249" s="38" t="s">
        <v>66</v>
      </c>
      <c r="E249" s="39">
        <v>2401.6</v>
      </c>
      <c r="F249" s="39">
        <v>0</v>
      </c>
      <c r="G249" s="39">
        <v>0</v>
      </c>
      <c r="H249" s="40">
        <v>0</v>
      </c>
      <c r="I249" s="40">
        <v>0</v>
      </c>
      <c r="J249" s="40">
        <v>192.13</v>
      </c>
      <c r="K249" s="40">
        <v>0</v>
      </c>
      <c r="L249" s="40">
        <v>0</v>
      </c>
      <c r="M249" s="40">
        <v>0</v>
      </c>
      <c r="N249" s="40">
        <v>0</v>
      </c>
      <c r="O249" s="40">
        <v>2401.6</v>
      </c>
      <c r="P249" s="40">
        <v>0</v>
      </c>
      <c r="Q249" s="40">
        <v>0</v>
      </c>
      <c r="R249" s="40">
        <v>191.82</v>
      </c>
      <c r="S249" s="40">
        <v>0</v>
      </c>
      <c r="T249" s="40">
        <v>0</v>
      </c>
      <c r="U249" s="40">
        <v>0</v>
      </c>
      <c r="V249" s="40">
        <v>2401.6</v>
      </c>
      <c r="W249" s="40">
        <v>0</v>
      </c>
      <c r="X249" s="40">
        <v>0</v>
      </c>
      <c r="Y249" s="40">
        <v>0</v>
      </c>
      <c r="Z249" s="40">
        <v>0</v>
      </c>
      <c r="AA249" s="40">
        <v>89.29</v>
      </c>
      <c r="AB249" s="40">
        <v>480.32</v>
      </c>
      <c r="AC249" s="40">
        <v>139.29</v>
      </c>
      <c r="AD249" s="40">
        <v>900.72</v>
      </c>
      <c r="AE249" s="49">
        <f t="shared" si="60"/>
        <v>0</v>
      </c>
      <c r="AF249" s="49">
        <f t="shared" si="61"/>
        <v>9.9999999999909051E-3</v>
      </c>
      <c r="AG249" t="s">
        <v>311</v>
      </c>
      <c r="AH249" s="55">
        <v>2401.6</v>
      </c>
      <c r="AI249">
        <v>192.12</v>
      </c>
      <c r="AJ249" s="49">
        <f t="shared" si="52"/>
        <v>0</v>
      </c>
      <c r="AK249" s="49">
        <f t="shared" si="53"/>
        <v>0</v>
      </c>
      <c r="AL249" t="s">
        <v>311</v>
      </c>
      <c r="AM249" s="81">
        <v>2401.6</v>
      </c>
      <c r="AN249" s="81">
        <v>191.82</v>
      </c>
      <c r="AO249" s="81">
        <v>0</v>
      </c>
      <c r="AP249" s="81">
        <v>0</v>
      </c>
    </row>
    <row r="250" spans="1:42">
      <c r="A250" s="38" t="s">
        <v>312</v>
      </c>
      <c r="B250" s="38" t="s">
        <v>68</v>
      </c>
      <c r="C250" s="38" t="s">
        <v>65</v>
      </c>
      <c r="D250" s="38" t="s">
        <v>66</v>
      </c>
      <c r="E250" s="39">
        <v>3567.63</v>
      </c>
      <c r="F250" s="39">
        <v>0</v>
      </c>
      <c r="G250" s="39">
        <v>0</v>
      </c>
      <c r="H250" s="40">
        <v>0</v>
      </c>
      <c r="I250" s="40">
        <v>0</v>
      </c>
      <c r="J250" s="40">
        <v>285.41000000000003</v>
      </c>
      <c r="K250" s="40">
        <v>0</v>
      </c>
      <c r="L250" s="40">
        <v>0</v>
      </c>
      <c r="M250" s="40">
        <v>0</v>
      </c>
      <c r="N250" s="40">
        <v>0</v>
      </c>
      <c r="O250" s="40">
        <v>3567.63</v>
      </c>
      <c r="P250" s="40">
        <v>0</v>
      </c>
      <c r="Q250" s="40">
        <v>0</v>
      </c>
      <c r="R250" s="40">
        <v>316.7</v>
      </c>
      <c r="S250" s="40">
        <v>0</v>
      </c>
      <c r="T250" s="40">
        <v>0</v>
      </c>
      <c r="U250" s="40">
        <v>0</v>
      </c>
      <c r="V250" s="40">
        <v>3567.63</v>
      </c>
      <c r="W250" s="40">
        <v>0</v>
      </c>
      <c r="X250" s="40">
        <v>0</v>
      </c>
      <c r="Y250" s="40">
        <v>0</v>
      </c>
      <c r="Z250" s="40">
        <v>0</v>
      </c>
      <c r="AA250" s="40">
        <v>132.63999999999999</v>
      </c>
      <c r="AB250" s="40">
        <v>713.53</v>
      </c>
      <c r="AC250" s="40">
        <v>206.92</v>
      </c>
      <c r="AD250" s="40">
        <v>1369.79</v>
      </c>
      <c r="AE250" s="49">
        <f t="shared" si="60"/>
        <v>0</v>
      </c>
      <c r="AF250" s="49">
        <f t="shared" si="61"/>
        <v>0</v>
      </c>
      <c r="AG250" t="s">
        <v>312</v>
      </c>
      <c r="AH250" s="55">
        <v>3567.63</v>
      </c>
      <c r="AI250">
        <v>285.41000000000003</v>
      </c>
      <c r="AJ250" s="49">
        <f t="shared" si="52"/>
        <v>0</v>
      </c>
      <c r="AK250" s="49">
        <f t="shared" si="53"/>
        <v>0</v>
      </c>
      <c r="AL250" t="s">
        <v>312</v>
      </c>
      <c r="AM250" s="81">
        <v>3567.63</v>
      </c>
      <c r="AN250" s="81">
        <v>316.7</v>
      </c>
      <c r="AO250" s="81">
        <v>0</v>
      </c>
      <c r="AP250" s="81">
        <v>0</v>
      </c>
    </row>
    <row r="251" spans="1:42">
      <c r="A251" s="38" t="s">
        <v>313</v>
      </c>
      <c r="B251" s="38" t="s">
        <v>68</v>
      </c>
      <c r="C251" s="38" t="s">
        <v>65</v>
      </c>
      <c r="D251" s="38" t="s">
        <v>66</v>
      </c>
      <c r="E251" s="39">
        <v>3454.68</v>
      </c>
      <c r="F251" s="39">
        <v>0</v>
      </c>
      <c r="G251" s="39">
        <v>0</v>
      </c>
      <c r="H251" s="40">
        <v>0</v>
      </c>
      <c r="I251" s="40">
        <v>0</v>
      </c>
      <c r="J251" s="40">
        <v>276.37</v>
      </c>
      <c r="K251" s="40">
        <v>0</v>
      </c>
      <c r="L251" s="40">
        <v>0</v>
      </c>
      <c r="M251" s="40">
        <v>0</v>
      </c>
      <c r="N251" s="40">
        <v>0</v>
      </c>
      <c r="O251" s="40">
        <v>3454.68</v>
      </c>
      <c r="P251" s="40">
        <v>0</v>
      </c>
      <c r="Q251" s="40">
        <v>0</v>
      </c>
      <c r="R251" s="40">
        <v>303.14999999999998</v>
      </c>
      <c r="S251" s="40">
        <v>0</v>
      </c>
      <c r="T251" s="40">
        <v>0</v>
      </c>
      <c r="U251" s="40">
        <v>0</v>
      </c>
      <c r="V251" s="40">
        <v>3454.68</v>
      </c>
      <c r="W251" s="40">
        <v>0</v>
      </c>
      <c r="X251" s="40">
        <v>0</v>
      </c>
      <c r="Y251" s="40">
        <v>0</v>
      </c>
      <c r="Z251" s="40">
        <v>0</v>
      </c>
      <c r="AA251" s="40">
        <v>128.44</v>
      </c>
      <c r="AB251" s="40">
        <v>690.94</v>
      </c>
      <c r="AC251" s="40">
        <v>200.37</v>
      </c>
      <c r="AD251" s="40">
        <v>1322.9</v>
      </c>
      <c r="AE251" s="49">
        <f t="shared" si="60"/>
        <v>0</v>
      </c>
      <c r="AF251" s="49">
        <f t="shared" si="61"/>
        <v>0</v>
      </c>
      <c r="AG251" t="s">
        <v>313</v>
      </c>
      <c r="AH251" s="55">
        <v>3454.68</v>
      </c>
      <c r="AI251">
        <v>276.37</v>
      </c>
      <c r="AJ251" s="49">
        <f t="shared" si="52"/>
        <v>0</v>
      </c>
      <c r="AK251" s="49">
        <f t="shared" si="53"/>
        <v>0</v>
      </c>
      <c r="AL251" t="s">
        <v>313</v>
      </c>
      <c r="AM251" s="81">
        <v>3454.68</v>
      </c>
      <c r="AN251" s="81">
        <v>303.14999999999998</v>
      </c>
      <c r="AO251" s="81">
        <v>0</v>
      </c>
      <c r="AP251" s="81">
        <v>0</v>
      </c>
    </row>
    <row r="252" spans="1:42">
      <c r="A252" s="38" t="s">
        <v>314</v>
      </c>
      <c r="B252" s="38" t="s">
        <v>68</v>
      </c>
      <c r="C252" s="38" t="s">
        <v>65</v>
      </c>
      <c r="D252" s="38" t="s">
        <v>66</v>
      </c>
      <c r="E252" s="39">
        <v>3711.16</v>
      </c>
      <c r="F252" s="39">
        <v>0</v>
      </c>
      <c r="G252" s="39">
        <v>0</v>
      </c>
      <c r="H252" s="40">
        <v>0</v>
      </c>
      <c r="I252" s="40">
        <v>0</v>
      </c>
      <c r="J252" s="40">
        <v>296.89</v>
      </c>
      <c r="K252" s="40">
        <v>0</v>
      </c>
      <c r="L252" s="40">
        <v>0</v>
      </c>
      <c r="M252" s="40">
        <v>0</v>
      </c>
      <c r="N252" s="40">
        <v>0</v>
      </c>
      <c r="O252" s="40">
        <v>3711.16</v>
      </c>
      <c r="P252" s="40">
        <v>0</v>
      </c>
      <c r="Q252" s="40">
        <v>0</v>
      </c>
      <c r="R252" s="40">
        <v>333.92</v>
      </c>
      <c r="S252" s="40">
        <v>0</v>
      </c>
      <c r="T252" s="40">
        <v>0</v>
      </c>
      <c r="U252" s="40">
        <v>0</v>
      </c>
      <c r="V252" s="40">
        <v>3711.16</v>
      </c>
      <c r="W252" s="40">
        <v>0</v>
      </c>
      <c r="X252" s="40">
        <v>0</v>
      </c>
      <c r="Y252" s="40">
        <v>0</v>
      </c>
      <c r="Z252" s="40">
        <v>0</v>
      </c>
      <c r="AA252" s="40">
        <v>137.97999999999999</v>
      </c>
      <c r="AB252" s="40">
        <v>742.23</v>
      </c>
      <c r="AC252" s="40">
        <v>215.25</v>
      </c>
      <c r="AD252" s="40">
        <v>1429.38</v>
      </c>
      <c r="AE252" s="49">
        <f t="shared" si="60"/>
        <v>0</v>
      </c>
      <c r="AF252" s="49">
        <f t="shared" si="61"/>
        <v>0</v>
      </c>
      <c r="AG252" t="s">
        <v>314</v>
      </c>
      <c r="AH252" s="55">
        <v>3711.16</v>
      </c>
      <c r="AI252">
        <v>296.89</v>
      </c>
      <c r="AJ252" s="49">
        <f t="shared" si="52"/>
        <v>0</v>
      </c>
      <c r="AK252" s="49">
        <f t="shared" si="53"/>
        <v>0</v>
      </c>
      <c r="AL252" t="s">
        <v>314</v>
      </c>
      <c r="AM252" s="81">
        <v>3711.16</v>
      </c>
      <c r="AN252" s="81">
        <v>333.92</v>
      </c>
      <c r="AO252" s="81">
        <v>0</v>
      </c>
      <c r="AP252" s="81">
        <v>0</v>
      </c>
    </row>
    <row r="253" spans="1:42">
      <c r="A253" s="38" t="s">
        <v>315</v>
      </c>
      <c r="B253" s="38" t="s">
        <v>68</v>
      </c>
      <c r="C253" s="38" t="s">
        <v>65</v>
      </c>
      <c r="D253" s="38" t="s">
        <v>66</v>
      </c>
      <c r="E253" s="39">
        <v>2058.27</v>
      </c>
      <c r="F253" s="39">
        <v>0</v>
      </c>
      <c r="G253" s="39">
        <v>0</v>
      </c>
      <c r="H253" s="40">
        <v>0</v>
      </c>
      <c r="I253" s="40">
        <v>0</v>
      </c>
      <c r="J253" s="40">
        <v>164.66</v>
      </c>
      <c r="K253" s="40">
        <v>0</v>
      </c>
      <c r="L253" s="40">
        <v>0</v>
      </c>
      <c r="M253" s="40">
        <v>0</v>
      </c>
      <c r="N253" s="40">
        <v>0</v>
      </c>
      <c r="O253" s="40">
        <v>2058.27</v>
      </c>
      <c r="P253" s="40">
        <v>0</v>
      </c>
      <c r="Q253" s="40">
        <v>0</v>
      </c>
      <c r="R253" s="40">
        <v>160.91999999999999</v>
      </c>
      <c r="S253" s="40">
        <v>0</v>
      </c>
      <c r="T253" s="40">
        <v>0</v>
      </c>
      <c r="U253" s="40">
        <v>0</v>
      </c>
      <c r="V253" s="40">
        <v>2058.27</v>
      </c>
      <c r="W253" s="40">
        <v>0</v>
      </c>
      <c r="X253" s="40">
        <v>0</v>
      </c>
      <c r="Y253" s="40">
        <v>0</v>
      </c>
      <c r="Z253" s="40">
        <v>0</v>
      </c>
      <c r="AA253" s="40">
        <v>76.52</v>
      </c>
      <c r="AB253" s="40">
        <v>411.65</v>
      </c>
      <c r="AC253" s="40">
        <v>119.38</v>
      </c>
      <c r="AD253" s="40">
        <v>768.48</v>
      </c>
      <c r="AE253" s="49">
        <f t="shared" si="60"/>
        <v>0</v>
      </c>
      <c r="AF253" s="49">
        <f t="shared" si="61"/>
        <v>0</v>
      </c>
      <c r="AG253" t="s">
        <v>315</v>
      </c>
      <c r="AH253" s="55">
        <v>2058.27</v>
      </c>
      <c r="AI253">
        <v>164.66</v>
      </c>
      <c r="AJ253" s="49">
        <f t="shared" si="52"/>
        <v>0</v>
      </c>
      <c r="AK253" s="49">
        <f t="shared" si="53"/>
        <v>0</v>
      </c>
      <c r="AL253" t="s">
        <v>315</v>
      </c>
      <c r="AM253" s="81">
        <v>2058.27</v>
      </c>
      <c r="AN253" s="81">
        <v>160.91999999999999</v>
      </c>
      <c r="AO253" s="81">
        <v>0</v>
      </c>
      <c r="AP253" s="81">
        <v>0</v>
      </c>
    </row>
    <row r="254" spans="1:42">
      <c r="A254" s="38" t="s">
        <v>316</v>
      </c>
      <c r="B254" s="38" t="s">
        <v>68</v>
      </c>
      <c r="C254" s="38" t="s">
        <v>65</v>
      </c>
      <c r="D254" s="38" t="s">
        <v>66</v>
      </c>
      <c r="E254" s="39">
        <v>3035.54</v>
      </c>
      <c r="F254" s="39">
        <v>0</v>
      </c>
      <c r="G254" s="39">
        <v>0</v>
      </c>
      <c r="H254" s="40">
        <v>0</v>
      </c>
      <c r="I254" s="40">
        <v>0</v>
      </c>
      <c r="J254" s="40">
        <v>242.84</v>
      </c>
      <c r="K254" s="40">
        <v>0</v>
      </c>
      <c r="L254" s="40">
        <v>0</v>
      </c>
      <c r="M254" s="40">
        <v>0</v>
      </c>
      <c r="N254" s="40">
        <v>0</v>
      </c>
      <c r="O254" s="40">
        <v>3035.54</v>
      </c>
      <c r="P254" s="40">
        <v>0</v>
      </c>
      <c r="Q254" s="40">
        <v>0</v>
      </c>
      <c r="R254" s="40">
        <v>252.85</v>
      </c>
      <c r="S254" s="40">
        <v>0</v>
      </c>
      <c r="T254" s="40">
        <v>0</v>
      </c>
      <c r="U254" s="40">
        <v>0</v>
      </c>
      <c r="V254" s="40">
        <v>3035.54</v>
      </c>
      <c r="W254" s="40">
        <v>0</v>
      </c>
      <c r="X254" s="40">
        <v>0</v>
      </c>
      <c r="Y254" s="40">
        <v>0</v>
      </c>
      <c r="Z254" s="40">
        <v>0</v>
      </c>
      <c r="AA254" s="40">
        <v>112.86</v>
      </c>
      <c r="AB254" s="40">
        <v>607.11</v>
      </c>
      <c r="AC254" s="40">
        <v>176.06</v>
      </c>
      <c r="AD254" s="40">
        <v>1148.8800000000001</v>
      </c>
      <c r="AE254" s="49">
        <f t="shared" si="60"/>
        <v>0</v>
      </c>
      <c r="AF254" s="49">
        <f t="shared" si="61"/>
        <v>0</v>
      </c>
      <c r="AG254" t="s">
        <v>316</v>
      </c>
      <c r="AH254" s="55">
        <v>3035.54</v>
      </c>
      <c r="AI254">
        <v>242.84</v>
      </c>
      <c r="AJ254" s="49">
        <f t="shared" si="52"/>
        <v>0</v>
      </c>
      <c r="AK254" s="49">
        <f t="shared" si="53"/>
        <v>0</v>
      </c>
      <c r="AL254" t="s">
        <v>316</v>
      </c>
      <c r="AM254" s="81">
        <v>3035.54</v>
      </c>
      <c r="AN254" s="81">
        <v>252.85</v>
      </c>
      <c r="AO254" s="81">
        <v>0</v>
      </c>
      <c r="AP254" s="81">
        <v>0</v>
      </c>
    </row>
    <row r="255" spans="1:42">
      <c r="A255" s="38" t="s">
        <v>317</v>
      </c>
      <c r="B255" s="38" t="s">
        <v>108</v>
      </c>
      <c r="C255" s="38" t="s">
        <v>65</v>
      </c>
      <c r="D255" s="38" t="s">
        <v>66</v>
      </c>
      <c r="E255" s="39">
        <v>3715.3</v>
      </c>
      <c r="F255" s="39">
        <v>0</v>
      </c>
      <c r="G255" s="39">
        <v>0</v>
      </c>
      <c r="H255" s="40">
        <v>0</v>
      </c>
      <c r="I255" s="40">
        <v>0</v>
      </c>
      <c r="J255" s="40">
        <v>297.22000000000003</v>
      </c>
      <c r="K255" s="40">
        <v>0</v>
      </c>
      <c r="L255" s="40">
        <v>0</v>
      </c>
      <c r="M255" s="40">
        <v>0</v>
      </c>
      <c r="N255" s="40">
        <v>0</v>
      </c>
      <c r="O255" s="40">
        <v>3715.3</v>
      </c>
      <c r="P255" s="40">
        <v>0</v>
      </c>
      <c r="Q255" s="40">
        <v>0</v>
      </c>
      <c r="R255" s="40">
        <v>222.97</v>
      </c>
      <c r="S255" s="40">
        <v>0</v>
      </c>
      <c r="T255" s="40">
        <v>111.45</v>
      </c>
      <c r="U255" s="40">
        <v>0</v>
      </c>
      <c r="V255" s="40">
        <v>2229.1799999999998</v>
      </c>
      <c r="W255" s="40">
        <v>1486.12</v>
      </c>
      <c r="X255" s="40">
        <v>0</v>
      </c>
      <c r="Y255" s="40">
        <v>0</v>
      </c>
      <c r="Z255" s="40">
        <v>0</v>
      </c>
      <c r="AA255" s="40">
        <v>138.13</v>
      </c>
      <c r="AB255" s="40">
        <v>743.06</v>
      </c>
      <c r="AC255" s="40">
        <v>215.49</v>
      </c>
      <c r="AD255" s="40">
        <v>1431.1</v>
      </c>
      <c r="AE255" s="49">
        <f t="shared" si="60"/>
        <v>0</v>
      </c>
      <c r="AF255" s="49">
        <f t="shared" si="61"/>
        <v>0</v>
      </c>
      <c r="AG255" t="s">
        <v>317</v>
      </c>
      <c r="AH255" s="55">
        <v>3715.3</v>
      </c>
      <c r="AI255">
        <v>297.22000000000003</v>
      </c>
      <c r="AJ255" s="49">
        <f t="shared" si="52"/>
        <v>0</v>
      </c>
      <c r="AK255" s="49">
        <f t="shared" si="53"/>
        <v>0</v>
      </c>
      <c r="AL255" t="s">
        <v>317</v>
      </c>
      <c r="AM255" s="81">
        <v>3715.3</v>
      </c>
      <c r="AN255" s="81">
        <v>334.42</v>
      </c>
      <c r="AO255" s="81">
        <v>0</v>
      </c>
      <c r="AP255" s="81">
        <v>0</v>
      </c>
    </row>
    <row r="256" spans="1:42">
      <c r="A256" s="38" t="s">
        <v>318</v>
      </c>
      <c r="B256" s="38" t="s">
        <v>68</v>
      </c>
      <c r="C256" s="38" t="s">
        <v>65</v>
      </c>
      <c r="D256" s="38" t="s">
        <v>66</v>
      </c>
      <c r="E256" s="39">
        <v>3744.4</v>
      </c>
      <c r="F256" s="39">
        <v>0</v>
      </c>
      <c r="G256" s="39">
        <v>0</v>
      </c>
      <c r="H256" s="40">
        <v>0</v>
      </c>
      <c r="I256" s="40">
        <v>0</v>
      </c>
      <c r="J256" s="40">
        <v>299.55</v>
      </c>
      <c r="K256" s="40">
        <v>0</v>
      </c>
      <c r="L256" s="40">
        <v>0</v>
      </c>
      <c r="M256" s="40">
        <v>0</v>
      </c>
      <c r="N256" s="40">
        <v>0</v>
      </c>
      <c r="O256" s="40">
        <v>3744.4</v>
      </c>
      <c r="P256" s="40">
        <v>0</v>
      </c>
      <c r="Q256" s="40">
        <v>0</v>
      </c>
      <c r="R256" s="40">
        <v>337.91</v>
      </c>
      <c r="S256" s="40">
        <v>0</v>
      </c>
      <c r="T256" s="40">
        <v>0</v>
      </c>
      <c r="U256" s="40">
        <v>0</v>
      </c>
      <c r="V256" s="40">
        <v>3744.4</v>
      </c>
      <c r="W256" s="40">
        <v>0</v>
      </c>
      <c r="X256" s="40">
        <v>0</v>
      </c>
      <c r="Y256" s="40">
        <v>0</v>
      </c>
      <c r="Z256" s="40">
        <v>0</v>
      </c>
      <c r="AA256" s="40">
        <v>139.21</v>
      </c>
      <c r="AB256" s="40">
        <v>748.88</v>
      </c>
      <c r="AC256" s="40">
        <v>217.18</v>
      </c>
      <c r="AD256" s="40">
        <v>1443.18</v>
      </c>
      <c r="AE256" s="49">
        <f t="shared" si="60"/>
        <v>0</v>
      </c>
      <c r="AF256" s="49">
        <f t="shared" si="61"/>
        <v>0</v>
      </c>
      <c r="AG256" t="s">
        <v>318</v>
      </c>
      <c r="AH256" s="55">
        <v>3744.4</v>
      </c>
      <c r="AI256">
        <v>299.55</v>
      </c>
      <c r="AJ256" s="49">
        <f t="shared" si="52"/>
        <v>0</v>
      </c>
      <c r="AK256" s="49">
        <f t="shared" si="53"/>
        <v>0</v>
      </c>
      <c r="AL256" t="s">
        <v>318</v>
      </c>
      <c r="AM256" s="81">
        <v>3744.4</v>
      </c>
      <c r="AN256" s="81">
        <v>337.91</v>
      </c>
      <c r="AO256" s="81">
        <v>0</v>
      </c>
      <c r="AP256" s="81">
        <v>0</v>
      </c>
    </row>
    <row r="257" spans="1:42">
      <c r="A257" s="38" t="s">
        <v>319</v>
      </c>
      <c r="B257" s="38" t="s">
        <v>68</v>
      </c>
      <c r="C257" s="38" t="s">
        <v>65</v>
      </c>
      <c r="D257" s="38" t="s">
        <v>66</v>
      </c>
      <c r="E257" s="39">
        <v>7264.1</v>
      </c>
      <c r="F257" s="39">
        <v>0</v>
      </c>
      <c r="G257" s="39">
        <v>0</v>
      </c>
      <c r="H257" s="40">
        <v>0</v>
      </c>
      <c r="I257" s="40">
        <v>0</v>
      </c>
      <c r="J257" s="40">
        <v>581.13</v>
      </c>
      <c r="K257" s="40">
        <v>0</v>
      </c>
      <c r="L257" s="40">
        <v>0</v>
      </c>
      <c r="M257" s="40">
        <v>0</v>
      </c>
      <c r="N257" s="40">
        <v>0</v>
      </c>
      <c r="O257" s="40">
        <v>7264.1</v>
      </c>
      <c r="P257" s="40">
        <v>0</v>
      </c>
      <c r="Q257" s="40">
        <v>0</v>
      </c>
      <c r="R257" s="40">
        <v>818.47</v>
      </c>
      <c r="S257" s="40">
        <v>0</v>
      </c>
      <c r="T257" s="40">
        <v>0</v>
      </c>
      <c r="U257" s="40">
        <v>0</v>
      </c>
      <c r="V257" s="40">
        <v>7264.1</v>
      </c>
      <c r="W257" s="40">
        <v>0</v>
      </c>
      <c r="X257" s="40">
        <v>852.37</v>
      </c>
      <c r="Y257" s="40">
        <v>0</v>
      </c>
      <c r="Z257" s="40">
        <v>0</v>
      </c>
      <c r="AA257" s="40">
        <v>270.07</v>
      </c>
      <c r="AB257" s="40">
        <v>1452.82</v>
      </c>
      <c r="AC257" s="40">
        <v>421.32</v>
      </c>
      <c r="AD257" s="40">
        <v>2962.68</v>
      </c>
      <c r="AE257" s="49">
        <f t="shared" si="60"/>
        <v>0</v>
      </c>
      <c r="AF257" s="49">
        <f t="shared" si="61"/>
        <v>9.9999999999909051E-3</v>
      </c>
      <c r="AG257" t="s">
        <v>319</v>
      </c>
      <c r="AH257" s="55">
        <v>7264.1</v>
      </c>
      <c r="AI257">
        <v>581.12</v>
      </c>
      <c r="AJ257" s="49">
        <f t="shared" si="52"/>
        <v>0</v>
      </c>
      <c r="AK257" s="49">
        <f t="shared" si="53"/>
        <v>0</v>
      </c>
      <c r="AL257" t="s">
        <v>319</v>
      </c>
      <c r="AM257" s="81">
        <v>7264.1</v>
      </c>
      <c r="AN257" s="81">
        <v>818.47</v>
      </c>
      <c r="AO257" s="81">
        <v>0</v>
      </c>
      <c r="AP257" s="81">
        <v>0</v>
      </c>
    </row>
    <row r="258" spans="1:42">
      <c r="A258" s="38" t="s">
        <v>320</v>
      </c>
      <c r="B258" s="38" t="s">
        <v>68</v>
      </c>
      <c r="C258" s="38" t="s">
        <v>65</v>
      </c>
      <c r="D258" s="38" t="s">
        <v>66</v>
      </c>
      <c r="E258" s="39">
        <v>4164.09</v>
      </c>
      <c r="F258" s="39">
        <v>0</v>
      </c>
      <c r="G258" s="39">
        <v>0</v>
      </c>
      <c r="H258" s="40">
        <v>0</v>
      </c>
      <c r="I258" s="40">
        <v>0</v>
      </c>
      <c r="J258" s="40">
        <v>333.13</v>
      </c>
      <c r="K258" s="40">
        <v>0</v>
      </c>
      <c r="L258" s="40">
        <v>0</v>
      </c>
      <c r="M258" s="40">
        <v>0</v>
      </c>
      <c r="N258" s="40">
        <v>0</v>
      </c>
      <c r="O258" s="40">
        <v>4164.09</v>
      </c>
      <c r="P258" s="40">
        <v>0</v>
      </c>
      <c r="Q258" s="40">
        <v>0</v>
      </c>
      <c r="R258" s="40">
        <v>388.28</v>
      </c>
      <c r="S258" s="40">
        <v>0</v>
      </c>
      <c r="T258" s="40">
        <v>0</v>
      </c>
      <c r="U258" s="40">
        <v>0</v>
      </c>
      <c r="V258" s="40">
        <v>4164.09</v>
      </c>
      <c r="W258" s="40">
        <v>0</v>
      </c>
      <c r="X258" s="40">
        <v>0</v>
      </c>
      <c r="Y258" s="40">
        <v>0</v>
      </c>
      <c r="Z258" s="40">
        <v>0</v>
      </c>
      <c r="AA258" s="40">
        <v>154.82</v>
      </c>
      <c r="AB258" s="40">
        <v>832.82</v>
      </c>
      <c r="AC258" s="40">
        <v>241.52</v>
      </c>
      <c r="AD258" s="40">
        <v>1617.43</v>
      </c>
      <c r="AE258" s="49">
        <f t="shared" si="60"/>
        <v>0</v>
      </c>
      <c r="AF258" s="49">
        <f t="shared" si="61"/>
        <v>9.9999999999909051E-3</v>
      </c>
      <c r="AG258" t="s">
        <v>320</v>
      </c>
      <c r="AH258" s="55">
        <v>4164.09</v>
      </c>
      <c r="AI258">
        <v>333.12</v>
      </c>
      <c r="AJ258" s="49">
        <f t="shared" si="52"/>
        <v>0</v>
      </c>
      <c r="AK258" s="49">
        <f t="shared" si="53"/>
        <v>0</v>
      </c>
      <c r="AL258" t="s">
        <v>320</v>
      </c>
      <c r="AM258" s="81">
        <v>4164.09</v>
      </c>
      <c r="AN258" s="81">
        <v>388.28</v>
      </c>
      <c r="AO258" s="81">
        <v>0</v>
      </c>
      <c r="AP258" s="81">
        <v>0</v>
      </c>
    </row>
    <row r="259" spans="1:42">
      <c r="A259" s="38" t="s">
        <v>321</v>
      </c>
      <c r="B259" s="38" t="s">
        <v>152</v>
      </c>
      <c r="C259" s="38" t="s">
        <v>65</v>
      </c>
      <c r="D259" s="38" t="s">
        <v>66</v>
      </c>
      <c r="E259" s="39">
        <v>1752.36</v>
      </c>
      <c r="F259" s="39">
        <v>0</v>
      </c>
      <c r="G259" s="39">
        <v>0</v>
      </c>
      <c r="H259" s="40">
        <v>0</v>
      </c>
      <c r="I259" s="40">
        <v>0</v>
      </c>
      <c r="J259" s="40">
        <v>140.19</v>
      </c>
      <c r="K259" s="40">
        <v>0</v>
      </c>
      <c r="L259" s="40">
        <v>0</v>
      </c>
      <c r="M259" s="40">
        <v>0</v>
      </c>
      <c r="N259" s="40">
        <v>0</v>
      </c>
      <c r="O259" s="40">
        <v>1752.36</v>
      </c>
      <c r="P259" s="40">
        <v>0</v>
      </c>
      <c r="Q259" s="40">
        <v>0</v>
      </c>
      <c r="R259" s="40">
        <v>133.38999999999999</v>
      </c>
      <c r="S259" s="40">
        <v>0</v>
      </c>
      <c r="T259" s="40">
        <v>0</v>
      </c>
      <c r="U259" s="40">
        <v>0</v>
      </c>
      <c r="V259" s="40">
        <v>1752.36</v>
      </c>
      <c r="W259" s="40">
        <v>0</v>
      </c>
      <c r="X259" s="40">
        <v>0</v>
      </c>
      <c r="Y259" s="40">
        <v>0</v>
      </c>
      <c r="Z259" s="40">
        <v>0</v>
      </c>
      <c r="AA259" s="40">
        <v>65.150000000000006</v>
      </c>
      <c r="AB259" s="40">
        <v>350.47</v>
      </c>
      <c r="AC259" s="40">
        <v>101.64</v>
      </c>
      <c r="AD259" s="40">
        <v>650.65</v>
      </c>
      <c r="AE259" s="49">
        <f t="shared" si="60"/>
        <v>0</v>
      </c>
      <c r="AF259" s="49">
        <f t="shared" si="61"/>
        <v>9.9999999999909051E-3</v>
      </c>
      <c r="AG259" t="s">
        <v>321</v>
      </c>
      <c r="AH259" s="55">
        <v>1752.36</v>
      </c>
      <c r="AI259">
        <v>140.18</v>
      </c>
      <c r="AJ259" s="49">
        <f t="shared" si="52"/>
        <v>0</v>
      </c>
      <c r="AK259" s="49">
        <f t="shared" si="53"/>
        <v>0</v>
      </c>
      <c r="AL259" t="s">
        <v>321</v>
      </c>
      <c r="AM259" s="81">
        <v>1752.36</v>
      </c>
      <c r="AN259" s="81">
        <v>133.38999999999999</v>
      </c>
      <c r="AO259" s="81">
        <v>0</v>
      </c>
      <c r="AP259" s="81">
        <v>0</v>
      </c>
    </row>
    <row r="260" spans="1:42">
      <c r="A260" s="38" t="s">
        <v>322</v>
      </c>
      <c r="B260" s="38" t="s">
        <v>113</v>
      </c>
      <c r="C260" s="38" t="s">
        <v>65</v>
      </c>
      <c r="D260" s="38" t="s">
        <v>66</v>
      </c>
      <c r="E260" s="39">
        <v>5783.25</v>
      </c>
      <c r="F260" s="39">
        <v>0</v>
      </c>
      <c r="G260" s="39">
        <v>0</v>
      </c>
      <c r="H260" s="40">
        <v>0</v>
      </c>
      <c r="I260" s="40">
        <v>0</v>
      </c>
      <c r="J260" s="40">
        <v>462.66</v>
      </c>
      <c r="K260" s="40">
        <v>0</v>
      </c>
      <c r="L260" s="40">
        <v>0</v>
      </c>
      <c r="M260" s="40">
        <v>0</v>
      </c>
      <c r="N260" s="40">
        <v>0</v>
      </c>
      <c r="O260" s="40">
        <v>5783.25</v>
      </c>
      <c r="P260" s="40">
        <v>0</v>
      </c>
      <c r="Q260" s="40">
        <v>0</v>
      </c>
      <c r="R260" s="40">
        <v>611.15</v>
      </c>
      <c r="S260" s="40">
        <v>0</v>
      </c>
      <c r="T260" s="40">
        <v>0</v>
      </c>
      <c r="U260" s="40">
        <v>0</v>
      </c>
      <c r="V260" s="40">
        <v>5783.25</v>
      </c>
      <c r="W260" s="40">
        <v>0</v>
      </c>
      <c r="X260" s="40">
        <v>200.71</v>
      </c>
      <c r="Y260" s="40">
        <v>0</v>
      </c>
      <c r="Z260" s="40">
        <v>0</v>
      </c>
      <c r="AA260" s="40">
        <v>215.02</v>
      </c>
      <c r="AB260" s="40">
        <v>1156.6500000000001</v>
      </c>
      <c r="AC260" s="40">
        <v>335.43</v>
      </c>
      <c r="AD260" s="40">
        <v>2318.2399999999998</v>
      </c>
      <c r="AE260" s="49">
        <f t="shared" si="60"/>
        <v>0</v>
      </c>
      <c r="AF260" s="49">
        <f t="shared" si="61"/>
        <v>0</v>
      </c>
      <c r="AG260" t="s">
        <v>322</v>
      </c>
      <c r="AH260" s="55">
        <v>5783.25</v>
      </c>
      <c r="AI260">
        <v>462.66</v>
      </c>
      <c r="AJ260" s="49">
        <f t="shared" si="52"/>
        <v>0</v>
      </c>
      <c r="AK260" s="49">
        <f t="shared" si="53"/>
        <v>0</v>
      </c>
      <c r="AL260" t="s">
        <v>322</v>
      </c>
      <c r="AM260" s="81">
        <v>5783.25</v>
      </c>
      <c r="AN260" s="81">
        <v>611.15</v>
      </c>
      <c r="AO260" s="81">
        <v>0</v>
      </c>
      <c r="AP260" s="81">
        <v>0</v>
      </c>
    </row>
    <row r="261" spans="1:42">
      <c r="A261" s="38" t="s">
        <v>323</v>
      </c>
      <c r="B261" s="38" t="s">
        <v>68</v>
      </c>
      <c r="C261" s="38" t="s">
        <v>65</v>
      </c>
      <c r="D261" s="38" t="s">
        <v>66</v>
      </c>
      <c r="E261" s="39">
        <v>799.32</v>
      </c>
      <c r="F261" s="39">
        <v>0</v>
      </c>
      <c r="G261" s="39">
        <v>0</v>
      </c>
      <c r="H261" s="40">
        <v>0</v>
      </c>
      <c r="I261" s="40">
        <v>0</v>
      </c>
      <c r="J261" s="40">
        <v>63.95</v>
      </c>
      <c r="K261" s="40">
        <v>0</v>
      </c>
      <c r="L261" s="40">
        <v>0</v>
      </c>
      <c r="M261" s="40">
        <v>0</v>
      </c>
      <c r="N261" s="40">
        <v>0</v>
      </c>
      <c r="O261" s="40">
        <v>799.32</v>
      </c>
      <c r="P261" s="40">
        <v>0</v>
      </c>
      <c r="Q261" s="40">
        <v>0</v>
      </c>
      <c r="R261" s="40">
        <v>59.94</v>
      </c>
      <c r="S261" s="40">
        <v>0</v>
      </c>
      <c r="T261" s="40">
        <v>0</v>
      </c>
      <c r="U261" s="40">
        <v>0</v>
      </c>
      <c r="V261" s="40">
        <v>799.32</v>
      </c>
      <c r="W261" s="40">
        <v>0</v>
      </c>
      <c r="X261" s="40">
        <v>0</v>
      </c>
      <c r="Y261" s="40">
        <v>0</v>
      </c>
      <c r="Z261" s="40">
        <v>0</v>
      </c>
      <c r="AA261" s="40">
        <v>29.72</v>
      </c>
      <c r="AB261" s="40">
        <v>159.86000000000001</v>
      </c>
      <c r="AC261" s="40">
        <v>46.36</v>
      </c>
      <c r="AD261" s="40">
        <v>295.88</v>
      </c>
      <c r="AE261" s="49">
        <f t="shared" si="60"/>
        <v>0</v>
      </c>
      <c r="AF261" s="49">
        <f t="shared" si="61"/>
        <v>1.0000000000005116E-2</v>
      </c>
      <c r="AG261" t="s">
        <v>323</v>
      </c>
      <c r="AH261">
        <v>799.32</v>
      </c>
      <c r="AI261">
        <v>63.94</v>
      </c>
      <c r="AJ261" s="49">
        <f t="shared" si="52"/>
        <v>0</v>
      </c>
      <c r="AK261" s="49">
        <f t="shared" si="53"/>
        <v>0</v>
      </c>
      <c r="AL261" t="s">
        <v>323</v>
      </c>
      <c r="AM261" s="81">
        <v>799.32</v>
      </c>
      <c r="AN261" s="81">
        <v>59.94</v>
      </c>
      <c r="AO261" s="81">
        <v>0</v>
      </c>
      <c r="AP261" s="81">
        <v>0</v>
      </c>
    </row>
    <row r="262" spans="1:42">
      <c r="A262" s="38" t="s">
        <v>324</v>
      </c>
      <c r="B262" s="38" t="s">
        <v>87</v>
      </c>
      <c r="C262" s="38" t="s">
        <v>65</v>
      </c>
      <c r="D262" s="38" t="s">
        <v>66</v>
      </c>
      <c r="E262" s="39">
        <v>3432.13</v>
      </c>
      <c r="F262" s="39">
        <v>0</v>
      </c>
      <c r="G262" s="39">
        <v>0</v>
      </c>
      <c r="H262" s="40">
        <v>0</v>
      </c>
      <c r="I262" s="40">
        <v>0</v>
      </c>
      <c r="J262" s="40">
        <v>274.57</v>
      </c>
      <c r="K262" s="40">
        <v>0</v>
      </c>
      <c r="L262" s="40">
        <v>0</v>
      </c>
      <c r="M262" s="40">
        <v>0</v>
      </c>
      <c r="N262" s="40">
        <v>0</v>
      </c>
      <c r="O262" s="40">
        <v>3432.13</v>
      </c>
      <c r="P262" s="40">
        <v>0</v>
      </c>
      <c r="Q262" s="40">
        <v>0</v>
      </c>
      <c r="R262" s="40">
        <v>300.44</v>
      </c>
      <c r="S262" s="40">
        <v>0</v>
      </c>
      <c r="T262" s="40">
        <v>0</v>
      </c>
      <c r="U262" s="40">
        <v>0</v>
      </c>
      <c r="V262" s="40">
        <v>3432.13</v>
      </c>
      <c r="W262" s="40">
        <v>0</v>
      </c>
      <c r="X262" s="40">
        <v>0</v>
      </c>
      <c r="Y262" s="40">
        <v>0</v>
      </c>
      <c r="Z262" s="40">
        <v>0</v>
      </c>
      <c r="AA262" s="40">
        <v>127.6</v>
      </c>
      <c r="AB262" s="40">
        <v>686.43</v>
      </c>
      <c r="AC262" s="40">
        <v>199.06</v>
      </c>
      <c r="AD262" s="40">
        <v>1313.53</v>
      </c>
      <c r="AE262" s="49">
        <f t="shared" si="60"/>
        <v>0</v>
      </c>
      <c r="AF262" s="49">
        <f t="shared" si="61"/>
        <v>0</v>
      </c>
      <c r="AG262" t="s">
        <v>324</v>
      </c>
      <c r="AH262" s="55">
        <v>3432.13</v>
      </c>
      <c r="AI262">
        <v>274.57</v>
      </c>
      <c r="AJ262" s="49">
        <f t="shared" si="52"/>
        <v>0</v>
      </c>
      <c r="AK262" s="49">
        <f t="shared" si="53"/>
        <v>0</v>
      </c>
      <c r="AL262" t="s">
        <v>324</v>
      </c>
      <c r="AM262" s="81">
        <v>3432.13</v>
      </c>
      <c r="AN262" s="81">
        <v>300.44</v>
      </c>
      <c r="AO262" s="81">
        <v>0</v>
      </c>
      <c r="AP262" s="81">
        <v>0</v>
      </c>
    </row>
    <row r="263" spans="1:42">
      <c r="A263" s="38" t="s">
        <v>325</v>
      </c>
      <c r="B263" s="38" t="s">
        <v>68</v>
      </c>
      <c r="C263" s="38" t="s">
        <v>65</v>
      </c>
      <c r="D263" s="38" t="s">
        <v>66</v>
      </c>
      <c r="E263" s="39">
        <v>3030.5</v>
      </c>
      <c r="F263" s="39">
        <v>0</v>
      </c>
      <c r="G263" s="39">
        <v>0</v>
      </c>
      <c r="H263" s="40">
        <v>0</v>
      </c>
      <c r="I263" s="40">
        <v>0</v>
      </c>
      <c r="J263" s="40">
        <v>242.44</v>
      </c>
      <c r="K263" s="40">
        <v>0</v>
      </c>
      <c r="L263" s="40">
        <v>0</v>
      </c>
      <c r="M263" s="40">
        <v>0</v>
      </c>
      <c r="N263" s="40">
        <v>0</v>
      </c>
      <c r="O263" s="40">
        <v>3030.5</v>
      </c>
      <c r="P263" s="40">
        <v>0</v>
      </c>
      <c r="Q263" s="40">
        <v>0</v>
      </c>
      <c r="R263" s="40">
        <v>252.24</v>
      </c>
      <c r="S263" s="40">
        <v>0</v>
      </c>
      <c r="T263" s="40">
        <v>0</v>
      </c>
      <c r="U263" s="40">
        <v>0</v>
      </c>
      <c r="V263" s="40">
        <v>3030.5</v>
      </c>
      <c r="W263" s="40">
        <v>0</v>
      </c>
      <c r="X263" s="40">
        <v>0</v>
      </c>
      <c r="Y263" s="40">
        <v>0</v>
      </c>
      <c r="Z263" s="40">
        <v>0</v>
      </c>
      <c r="AA263" s="40">
        <v>112.67</v>
      </c>
      <c r="AB263" s="40">
        <v>606.1</v>
      </c>
      <c r="AC263" s="40">
        <v>175.77</v>
      </c>
      <c r="AD263" s="40">
        <v>1146.78</v>
      </c>
      <c r="AE263" s="49">
        <f t="shared" si="60"/>
        <v>0</v>
      </c>
      <c r="AF263" s="49">
        <f t="shared" si="61"/>
        <v>0</v>
      </c>
      <c r="AG263" t="s">
        <v>325</v>
      </c>
      <c r="AH263" s="55">
        <v>3030.5</v>
      </c>
      <c r="AI263">
        <v>242.44</v>
      </c>
      <c r="AJ263" s="49">
        <f t="shared" si="52"/>
        <v>0</v>
      </c>
      <c r="AK263" s="49">
        <f t="shared" si="53"/>
        <v>0</v>
      </c>
      <c r="AL263" t="s">
        <v>325</v>
      </c>
      <c r="AM263" s="81">
        <v>3030.5</v>
      </c>
      <c r="AN263" s="81">
        <v>252.24</v>
      </c>
      <c r="AO263" s="81">
        <v>0</v>
      </c>
      <c r="AP263" s="81">
        <v>0</v>
      </c>
    </row>
    <row r="264" spans="1:42">
      <c r="A264" s="41" t="s">
        <v>326</v>
      </c>
      <c r="B264" s="41" t="s">
        <v>68</v>
      </c>
      <c r="C264" s="41" t="s">
        <v>65</v>
      </c>
      <c r="D264" s="41" t="s">
        <v>66</v>
      </c>
      <c r="E264" s="39">
        <v>2920.46</v>
      </c>
      <c r="F264" s="39">
        <v>0</v>
      </c>
      <c r="G264" s="39">
        <v>0</v>
      </c>
      <c r="H264" s="39">
        <v>0</v>
      </c>
      <c r="I264" s="39">
        <v>0</v>
      </c>
      <c r="J264" s="39">
        <v>233.64</v>
      </c>
      <c r="K264" s="39">
        <v>0</v>
      </c>
      <c r="L264" s="39">
        <v>0</v>
      </c>
      <c r="M264" s="39">
        <v>0</v>
      </c>
      <c r="N264" s="39">
        <v>0</v>
      </c>
      <c r="O264" s="39">
        <v>2920.46</v>
      </c>
      <c r="P264" s="39">
        <v>0</v>
      </c>
      <c r="Q264" s="39">
        <v>0</v>
      </c>
      <c r="R264" s="39">
        <v>239.04</v>
      </c>
      <c r="S264" s="39">
        <v>0</v>
      </c>
      <c r="T264" s="39">
        <v>0</v>
      </c>
      <c r="U264" s="39">
        <v>0</v>
      </c>
      <c r="V264" s="39">
        <v>2920.46</v>
      </c>
      <c r="W264" s="39">
        <v>0</v>
      </c>
      <c r="X264" s="39">
        <v>0</v>
      </c>
      <c r="Y264" s="39">
        <v>0</v>
      </c>
      <c r="Z264" s="39">
        <v>0</v>
      </c>
      <c r="AA264" s="39">
        <v>108.58</v>
      </c>
      <c r="AB264" s="39">
        <v>584.09</v>
      </c>
      <c r="AC264" s="39">
        <v>169.39</v>
      </c>
      <c r="AD264" s="39">
        <v>1101.0999999999999</v>
      </c>
      <c r="AE264" s="49">
        <f t="shared" si="60"/>
        <v>0</v>
      </c>
      <c r="AF264" s="49">
        <f t="shared" si="61"/>
        <v>9.9999999999909051E-3</v>
      </c>
      <c r="AG264" t="s">
        <v>326</v>
      </c>
      <c r="AH264" s="55">
        <v>2920.46</v>
      </c>
      <c r="AI264">
        <v>233.63</v>
      </c>
      <c r="AJ264" s="49">
        <f t="shared" si="52"/>
        <v>0</v>
      </c>
      <c r="AK264" s="49">
        <f t="shared" si="53"/>
        <v>0</v>
      </c>
      <c r="AL264" t="s">
        <v>326</v>
      </c>
      <c r="AM264" s="81">
        <v>2920.46</v>
      </c>
      <c r="AN264" s="81">
        <v>239.04</v>
      </c>
      <c r="AO264" s="81">
        <v>0</v>
      </c>
      <c r="AP264" s="81">
        <v>0</v>
      </c>
    </row>
    <row r="265" spans="1:42">
      <c r="A265" s="38" t="s">
        <v>327</v>
      </c>
      <c r="B265" s="38" t="s">
        <v>134</v>
      </c>
      <c r="C265" s="38" t="s">
        <v>65</v>
      </c>
      <c r="D265" s="38" t="s">
        <v>66</v>
      </c>
      <c r="E265" s="39">
        <v>2500</v>
      </c>
      <c r="F265" s="39">
        <v>0</v>
      </c>
      <c r="G265" s="39">
        <v>0</v>
      </c>
      <c r="H265" s="40">
        <v>0</v>
      </c>
      <c r="I265" s="40">
        <v>0</v>
      </c>
      <c r="J265" s="40">
        <v>200</v>
      </c>
      <c r="K265" s="40">
        <v>0</v>
      </c>
      <c r="L265" s="40">
        <v>0</v>
      </c>
      <c r="M265" s="40">
        <v>0</v>
      </c>
      <c r="N265" s="40">
        <v>0</v>
      </c>
      <c r="O265" s="40">
        <v>2500</v>
      </c>
      <c r="P265" s="40">
        <v>0</v>
      </c>
      <c r="Q265" s="40">
        <v>0</v>
      </c>
      <c r="R265" s="40">
        <v>200.68</v>
      </c>
      <c r="S265" s="40">
        <v>0</v>
      </c>
      <c r="T265" s="40">
        <v>0</v>
      </c>
      <c r="U265" s="40">
        <v>0</v>
      </c>
      <c r="V265" s="40">
        <v>2500</v>
      </c>
      <c r="W265" s="40">
        <v>0</v>
      </c>
      <c r="X265" s="40">
        <v>0</v>
      </c>
      <c r="Y265" s="40">
        <v>0</v>
      </c>
      <c r="Z265" s="40">
        <v>0</v>
      </c>
      <c r="AA265" s="40">
        <v>92.95</v>
      </c>
      <c r="AB265" s="40">
        <v>500</v>
      </c>
      <c r="AC265" s="40">
        <v>145</v>
      </c>
      <c r="AD265" s="40">
        <v>938.63</v>
      </c>
      <c r="AE265" s="49">
        <f t="shared" si="60"/>
        <v>0</v>
      </c>
      <c r="AF265" s="49">
        <f t="shared" si="61"/>
        <v>0</v>
      </c>
      <c r="AG265" t="s">
        <v>327</v>
      </c>
      <c r="AH265" s="55">
        <v>2500</v>
      </c>
      <c r="AI265">
        <v>200</v>
      </c>
      <c r="AJ265" s="49">
        <f t="shared" si="52"/>
        <v>0</v>
      </c>
      <c r="AK265" s="49">
        <f t="shared" si="53"/>
        <v>0</v>
      </c>
      <c r="AL265" t="s">
        <v>327</v>
      </c>
      <c r="AM265" s="81">
        <v>2500</v>
      </c>
      <c r="AN265" s="81">
        <v>200.68</v>
      </c>
      <c r="AO265" s="81">
        <v>0</v>
      </c>
      <c r="AP265" s="81">
        <v>0</v>
      </c>
    </row>
    <row r="266" spans="1:42">
      <c r="A266" s="38" t="s">
        <v>328</v>
      </c>
      <c r="B266" s="38" t="s">
        <v>68</v>
      </c>
      <c r="C266" s="38" t="s">
        <v>65</v>
      </c>
      <c r="D266" s="38" t="s">
        <v>66</v>
      </c>
      <c r="E266" s="39">
        <v>3224.72</v>
      </c>
      <c r="F266" s="39">
        <v>0</v>
      </c>
      <c r="G266" s="39">
        <v>0</v>
      </c>
      <c r="H266" s="40">
        <v>0</v>
      </c>
      <c r="I266" s="40">
        <v>0</v>
      </c>
      <c r="J266" s="40">
        <v>257.98</v>
      </c>
      <c r="K266" s="40">
        <v>0</v>
      </c>
      <c r="L266" s="40">
        <v>0</v>
      </c>
      <c r="M266" s="40">
        <v>0</v>
      </c>
      <c r="N266" s="40">
        <v>0</v>
      </c>
      <c r="O266" s="40">
        <v>3224.72</v>
      </c>
      <c r="P266" s="40">
        <v>0</v>
      </c>
      <c r="Q266" s="40">
        <v>0</v>
      </c>
      <c r="R266" s="40">
        <v>275.55</v>
      </c>
      <c r="S266" s="40">
        <v>0</v>
      </c>
      <c r="T266" s="40">
        <v>0</v>
      </c>
      <c r="U266" s="40">
        <v>0</v>
      </c>
      <c r="V266" s="40">
        <v>3224.72</v>
      </c>
      <c r="W266" s="40">
        <v>0</v>
      </c>
      <c r="X266" s="40">
        <v>0</v>
      </c>
      <c r="Y266" s="40">
        <v>0</v>
      </c>
      <c r="Z266" s="40">
        <v>0</v>
      </c>
      <c r="AA266" s="40">
        <v>119.89</v>
      </c>
      <c r="AB266" s="40">
        <v>644.94000000000005</v>
      </c>
      <c r="AC266" s="40">
        <v>187.03</v>
      </c>
      <c r="AD266" s="40">
        <v>1227.42</v>
      </c>
      <c r="AE266" s="49">
        <f t="shared" si="60"/>
        <v>0</v>
      </c>
      <c r="AF266" s="49">
        <f t="shared" si="61"/>
        <v>9.9999999999909051E-3</v>
      </c>
      <c r="AG266" t="s">
        <v>328</v>
      </c>
      <c r="AH266" s="55">
        <v>3224.72</v>
      </c>
      <c r="AI266">
        <v>257.97000000000003</v>
      </c>
      <c r="AJ266" s="49">
        <f t="shared" si="52"/>
        <v>0</v>
      </c>
      <c r="AK266" s="49">
        <f t="shared" si="53"/>
        <v>0</v>
      </c>
      <c r="AL266" t="s">
        <v>328</v>
      </c>
      <c r="AM266" s="81">
        <v>3224.72</v>
      </c>
      <c r="AN266" s="81">
        <v>275.55</v>
      </c>
      <c r="AO266" s="81">
        <v>0</v>
      </c>
      <c r="AP266" s="81">
        <v>0</v>
      </c>
    </row>
    <row r="267" spans="1:42">
      <c r="A267" s="38" t="s">
        <v>329</v>
      </c>
      <c r="B267" s="38" t="s">
        <v>68</v>
      </c>
      <c r="C267" s="38" t="s">
        <v>82</v>
      </c>
      <c r="D267" s="38" t="s">
        <v>66</v>
      </c>
      <c r="E267" s="39">
        <v>497.93</v>
      </c>
      <c r="F267" s="39">
        <v>2960.58</v>
      </c>
      <c r="G267" s="39">
        <v>254.84</v>
      </c>
      <c r="H267" s="40">
        <v>1783.87</v>
      </c>
      <c r="I267" s="40">
        <v>0</v>
      </c>
      <c r="J267" s="40">
        <v>39.83</v>
      </c>
      <c r="K267" s="40">
        <v>236.85</v>
      </c>
      <c r="L267" s="40">
        <v>20.39</v>
      </c>
      <c r="M267" s="40">
        <v>142.71</v>
      </c>
      <c r="N267" s="40">
        <v>0</v>
      </c>
      <c r="O267" s="40">
        <v>497.93</v>
      </c>
      <c r="P267" s="40">
        <v>2038.71</v>
      </c>
      <c r="Q267" s="40">
        <v>0</v>
      </c>
      <c r="R267" s="40">
        <v>37.340000000000003</v>
      </c>
      <c r="S267" s="40">
        <v>159.16</v>
      </c>
      <c r="T267" s="40">
        <v>0</v>
      </c>
      <c r="U267" s="40">
        <v>0</v>
      </c>
      <c r="V267" s="40">
        <v>497.93</v>
      </c>
      <c r="W267" s="40">
        <v>0</v>
      </c>
      <c r="X267" s="40">
        <v>0</v>
      </c>
      <c r="Y267" s="40">
        <v>0</v>
      </c>
      <c r="Z267" s="40">
        <v>0</v>
      </c>
      <c r="AA267" s="40">
        <v>94.31</v>
      </c>
      <c r="AB267" s="40">
        <v>507.33</v>
      </c>
      <c r="AC267" s="40">
        <v>147.13</v>
      </c>
      <c r="AD267" s="40">
        <v>945.26</v>
      </c>
      <c r="AE267" s="49">
        <f t="shared" ref="AE267:AE278" si="62">(E267+F267+G267+H267+I267)-AH267</f>
        <v>5497.2199999999993</v>
      </c>
      <c r="AF267" s="49">
        <f t="shared" ref="AF267:AF278" si="63">(J267+K267+L267+M267+N267)-AI267</f>
        <v>439.78</v>
      </c>
      <c r="AH267" s="55"/>
      <c r="AJ267" s="49">
        <f t="shared" si="52"/>
        <v>0</v>
      </c>
      <c r="AK267" s="49">
        <f t="shared" si="53"/>
        <v>0</v>
      </c>
      <c r="AL267" t="s">
        <v>329</v>
      </c>
      <c r="AM267" s="81">
        <v>497.93</v>
      </c>
      <c r="AN267" s="81">
        <v>37.340000000000003</v>
      </c>
      <c r="AO267" s="81">
        <v>2038.71</v>
      </c>
      <c r="AP267" s="81">
        <v>159.16</v>
      </c>
    </row>
    <row r="268" spans="1:42">
      <c r="A268" s="38" t="s">
        <v>330</v>
      </c>
      <c r="B268" s="38" t="s">
        <v>68</v>
      </c>
      <c r="C268" s="38" t="s">
        <v>65</v>
      </c>
      <c r="D268" s="38" t="s">
        <v>66</v>
      </c>
      <c r="E268" s="39">
        <v>3496.94</v>
      </c>
      <c r="F268" s="39">
        <v>0</v>
      </c>
      <c r="G268" s="39">
        <v>0</v>
      </c>
      <c r="H268" s="40">
        <v>0</v>
      </c>
      <c r="I268" s="40">
        <v>0</v>
      </c>
      <c r="J268" s="40">
        <v>279.76</v>
      </c>
      <c r="K268" s="40">
        <v>0</v>
      </c>
      <c r="L268" s="40">
        <v>0</v>
      </c>
      <c r="M268" s="40">
        <v>0</v>
      </c>
      <c r="N268" s="40">
        <v>0</v>
      </c>
      <c r="O268" s="40">
        <v>3496.94</v>
      </c>
      <c r="P268" s="40">
        <v>0</v>
      </c>
      <c r="Q268" s="40">
        <v>0</v>
      </c>
      <c r="R268" s="40">
        <v>308.22000000000003</v>
      </c>
      <c r="S268" s="40">
        <v>0</v>
      </c>
      <c r="T268" s="40">
        <v>0</v>
      </c>
      <c r="U268" s="40">
        <v>0</v>
      </c>
      <c r="V268" s="40">
        <v>3496.94</v>
      </c>
      <c r="W268" s="40">
        <v>0</v>
      </c>
      <c r="X268" s="40">
        <v>0</v>
      </c>
      <c r="Y268" s="40">
        <v>0</v>
      </c>
      <c r="Z268" s="40">
        <v>0</v>
      </c>
      <c r="AA268" s="40">
        <v>130.01</v>
      </c>
      <c r="AB268" s="40">
        <v>699.39</v>
      </c>
      <c r="AC268" s="40">
        <v>202.82</v>
      </c>
      <c r="AD268" s="40">
        <v>1340.44</v>
      </c>
      <c r="AE268" s="49">
        <f t="shared" si="62"/>
        <v>0</v>
      </c>
      <c r="AF268" s="49">
        <f t="shared" si="63"/>
        <v>9.9999999999909051E-3</v>
      </c>
      <c r="AG268" t="s">
        <v>330</v>
      </c>
      <c r="AH268" s="55">
        <v>3496.94</v>
      </c>
      <c r="AI268">
        <v>279.75</v>
      </c>
      <c r="AJ268" s="49">
        <f t="shared" si="52"/>
        <v>0</v>
      </c>
      <c r="AK268" s="49">
        <f t="shared" si="53"/>
        <v>0</v>
      </c>
      <c r="AL268" t="s">
        <v>330</v>
      </c>
      <c r="AM268" s="81">
        <v>3496.94</v>
      </c>
      <c r="AN268" s="81">
        <v>308.22000000000003</v>
      </c>
      <c r="AO268" s="81">
        <v>0</v>
      </c>
      <c r="AP268" s="81">
        <v>0</v>
      </c>
    </row>
    <row r="269" spans="1:42">
      <c r="A269" s="38" t="s">
        <v>331</v>
      </c>
      <c r="B269" s="38" t="s">
        <v>152</v>
      </c>
      <c r="C269" s="38" t="s">
        <v>65</v>
      </c>
      <c r="D269" s="38" t="s">
        <v>66</v>
      </c>
      <c r="E269" s="39">
        <v>3053.22</v>
      </c>
      <c r="F269" s="39">
        <v>0</v>
      </c>
      <c r="G269" s="39">
        <v>0</v>
      </c>
      <c r="H269" s="40">
        <v>0</v>
      </c>
      <c r="I269" s="40">
        <v>0</v>
      </c>
      <c r="J269" s="40">
        <v>244.26</v>
      </c>
      <c r="K269" s="40">
        <v>0</v>
      </c>
      <c r="L269" s="40">
        <v>0</v>
      </c>
      <c r="M269" s="40">
        <v>0</v>
      </c>
      <c r="N269" s="40">
        <v>0</v>
      </c>
      <c r="O269" s="40">
        <v>3053.22</v>
      </c>
      <c r="P269" s="40">
        <v>0</v>
      </c>
      <c r="Q269" s="40">
        <v>0</v>
      </c>
      <c r="R269" s="40">
        <v>254.97</v>
      </c>
      <c r="S269" s="40">
        <v>0</v>
      </c>
      <c r="T269" s="40">
        <v>0</v>
      </c>
      <c r="U269" s="40">
        <v>0</v>
      </c>
      <c r="V269" s="40">
        <v>3053.22</v>
      </c>
      <c r="W269" s="40">
        <v>0</v>
      </c>
      <c r="X269" s="40">
        <v>0</v>
      </c>
      <c r="Y269" s="40">
        <v>0</v>
      </c>
      <c r="Z269" s="40">
        <v>0</v>
      </c>
      <c r="AA269" s="40">
        <v>113.52</v>
      </c>
      <c r="AB269" s="40">
        <v>610.64</v>
      </c>
      <c r="AC269" s="40">
        <v>177.09</v>
      </c>
      <c r="AD269" s="40">
        <v>1156.22</v>
      </c>
      <c r="AE269" s="49">
        <f t="shared" si="62"/>
        <v>0</v>
      </c>
      <c r="AF269" s="49">
        <f t="shared" si="63"/>
        <v>9.9999999999909051E-3</v>
      </c>
      <c r="AG269" t="s">
        <v>331</v>
      </c>
      <c r="AH269" s="55">
        <v>3053.22</v>
      </c>
      <c r="AI269">
        <v>244.25</v>
      </c>
      <c r="AJ269" s="49">
        <f t="shared" si="52"/>
        <v>0</v>
      </c>
      <c r="AK269" s="49">
        <f t="shared" si="53"/>
        <v>0</v>
      </c>
      <c r="AL269" t="s">
        <v>331</v>
      </c>
      <c r="AM269" s="81">
        <v>3053.22</v>
      </c>
      <c r="AN269" s="81">
        <v>254.97</v>
      </c>
      <c r="AO269" s="81">
        <v>0</v>
      </c>
      <c r="AP269" s="81">
        <v>0</v>
      </c>
    </row>
    <row r="270" spans="1:42">
      <c r="A270" s="38" t="s">
        <v>332</v>
      </c>
      <c r="B270" s="38" t="s">
        <v>68</v>
      </c>
      <c r="C270" s="38" t="s">
        <v>65</v>
      </c>
      <c r="D270" s="38" t="s">
        <v>66</v>
      </c>
      <c r="E270" s="39">
        <v>3529.04</v>
      </c>
      <c r="F270" s="39">
        <v>0</v>
      </c>
      <c r="G270" s="39">
        <v>0</v>
      </c>
      <c r="H270" s="40">
        <v>0</v>
      </c>
      <c r="I270" s="40">
        <v>0</v>
      </c>
      <c r="J270" s="40">
        <v>282.32</v>
      </c>
      <c r="K270" s="40">
        <v>0</v>
      </c>
      <c r="L270" s="40">
        <v>0</v>
      </c>
      <c r="M270" s="40">
        <v>0</v>
      </c>
      <c r="N270" s="40">
        <v>0</v>
      </c>
      <c r="O270" s="40">
        <v>3529.04</v>
      </c>
      <c r="P270" s="40">
        <v>0</v>
      </c>
      <c r="Q270" s="40">
        <v>0</v>
      </c>
      <c r="R270" s="40">
        <v>312.07</v>
      </c>
      <c r="S270" s="40">
        <v>0</v>
      </c>
      <c r="T270" s="40">
        <v>0</v>
      </c>
      <c r="U270" s="40">
        <v>0</v>
      </c>
      <c r="V270" s="40">
        <v>3529.04</v>
      </c>
      <c r="W270" s="40">
        <v>0</v>
      </c>
      <c r="X270" s="40">
        <v>0</v>
      </c>
      <c r="Y270" s="40">
        <v>0</v>
      </c>
      <c r="Z270" s="40">
        <v>0</v>
      </c>
      <c r="AA270" s="40">
        <v>131.21</v>
      </c>
      <c r="AB270" s="40">
        <v>705.81</v>
      </c>
      <c r="AC270" s="40">
        <v>204.68</v>
      </c>
      <c r="AD270" s="40">
        <v>1353.77</v>
      </c>
      <c r="AE270" s="49">
        <f t="shared" si="62"/>
        <v>0</v>
      </c>
      <c r="AF270" s="49">
        <f t="shared" si="63"/>
        <v>0</v>
      </c>
      <c r="AG270" t="s">
        <v>332</v>
      </c>
      <c r="AH270" s="55">
        <v>3529.04</v>
      </c>
      <c r="AI270">
        <v>282.32</v>
      </c>
      <c r="AJ270" s="49">
        <f t="shared" si="52"/>
        <v>0</v>
      </c>
      <c r="AK270" s="49">
        <f t="shared" si="53"/>
        <v>0</v>
      </c>
      <c r="AL270" t="s">
        <v>332</v>
      </c>
      <c r="AM270" s="81">
        <v>3529.04</v>
      </c>
      <c r="AN270" s="81">
        <v>312.07</v>
      </c>
      <c r="AO270" s="81">
        <v>0</v>
      </c>
      <c r="AP270" s="81">
        <v>0</v>
      </c>
    </row>
    <row r="271" spans="1:42">
      <c r="A271" s="38" t="s">
        <v>333</v>
      </c>
      <c r="B271" s="38" t="s">
        <v>152</v>
      </c>
      <c r="C271" s="38" t="s">
        <v>65</v>
      </c>
      <c r="D271" s="38" t="s">
        <v>66</v>
      </c>
      <c r="E271" s="39">
        <v>1924.29</v>
      </c>
      <c r="F271" s="39">
        <v>0</v>
      </c>
      <c r="G271" s="39">
        <v>0</v>
      </c>
      <c r="H271" s="40">
        <v>0</v>
      </c>
      <c r="I271" s="40">
        <v>0</v>
      </c>
      <c r="J271" s="40">
        <v>153.94</v>
      </c>
      <c r="K271" s="40">
        <v>0</v>
      </c>
      <c r="L271" s="40">
        <v>0</v>
      </c>
      <c r="M271" s="40">
        <v>0</v>
      </c>
      <c r="N271" s="40">
        <v>0</v>
      </c>
      <c r="O271" s="40">
        <v>1924.29</v>
      </c>
      <c r="P271" s="40">
        <v>0</v>
      </c>
      <c r="Q271" s="40">
        <v>0</v>
      </c>
      <c r="R271" s="40">
        <v>148.86000000000001</v>
      </c>
      <c r="S271" s="40">
        <v>0</v>
      </c>
      <c r="T271" s="40">
        <v>0</v>
      </c>
      <c r="U271" s="40">
        <v>0</v>
      </c>
      <c r="V271" s="40">
        <v>1924.29</v>
      </c>
      <c r="W271" s="40">
        <v>0</v>
      </c>
      <c r="X271" s="40">
        <v>0</v>
      </c>
      <c r="Y271" s="40">
        <v>0</v>
      </c>
      <c r="Z271" s="40">
        <v>0</v>
      </c>
      <c r="AA271" s="40">
        <v>71.540000000000006</v>
      </c>
      <c r="AB271" s="40">
        <v>384.86</v>
      </c>
      <c r="AC271" s="40">
        <v>111.61</v>
      </c>
      <c r="AD271" s="40">
        <v>716.87</v>
      </c>
      <c r="AE271" s="49">
        <f t="shared" si="62"/>
        <v>0</v>
      </c>
      <c r="AF271" s="49">
        <f t="shared" si="63"/>
        <v>0</v>
      </c>
      <c r="AG271" t="s">
        <v>333</v>
      </c>
      <c r="AH271" s="55">
        <v>1924.29</v>
      </c>
      <c r="AI271">
        <v>153.94</v>
      </c>
      <c r="AJ271" s="49">
        <f t="shared" si="52"/>
        <v>0</v>
      </c>
      <c r="AK271" s="49">
        <f t="shared" si="53"/>
        <v>0</v>
      </c>
      <c r="AL271" t="s">
        <v>333</v>
      </c>
      <c r="AM271" s="81">
        <v>1924.29</v>
      </c>
      <c r="AN271" s="81">
        <v>148.86000000000001</v>
      </c>
      <c r="AO271" s="81">
        <v>0</v>
      </c>
      <c r="AP271" s="81">
        <v>0</v>
      </c>
    </row>
    <row r="272" spans="1:42">
      <c r="A272" s="38" t="s">
        <v>334</v>
      </c>
      <c r="B272" s="38" t="s">
        <v>68</v>
      </c>
      <c r="C272" s="38" t="s">
        <v>65</v>
      </c>
      <c r="D272" s="38" t="s">
        <v>66</v>
      </c>
      <c r="E272" s="39">
        <v>6999.95</v>
      </c>
      <c r="F272" s="39">
        <v>0</v>
      </c>
      <c r="G272" s="39">
        <v>0</v>
      </c>
      <c r="H272" s="40">
        <v>0</v>
      </c>
      <c r="I272" s="40">
        <v>0</v>
      </c>
      <c r="J272" s="40">
        <v>560</v>
      </c>
      <c r="K272" s="40">
        <v>0</v>
      </c>
      <c r="L272" s="40">
        <v>0</v>
      </c>
      <c r="M272" s="40">
        <v>0</v>
      </c>
      <c r="N272" s="40">
        <v>0</v>
      </c>
      <c r="O272" s="40">
        <v>6999.95</v>
      </c>
      <c r="P272" s="40">
        <v>0</v>
      </c>
      <c r="Q272" s="40">
        <v>0</v>
      </c>
      <c r="R272" s="40">
        <v>781.49</v>
      </c>
      <c r="S272" s="40">
        <v>0</v>
      </c>
      <c r="T272" s="40">
        <v>0</v>
      </c>
      <c r="U272" s="40">
        <v>0</v>
      </c>
      <c r="V272" s="40">
        <v>6999.95</v>
      </c>
      <c r="W272" s="40">
        <v>0</v>
      </c>
      <c r="X272" s="40">
        <v>702.59</v>
      </c>
      <c r="Y272" s="40">
        <v>0</v>
      </c>
      <c r="Z272" s="40">
        <v>0</v>
      </c>
      <c r="AA272" s="40">
        <v>260.25</v>
      </c>
      <c r="AB272" s="40">
        <v>1399.99</v>
      </c>
      <c r="AC272" s="40">
        <v>406</v>
      </c>
      <c r="AD272" s="40">
        <v>2847.73</v>
      </c>
      <c r="AE272" s="49">
        <f t="shared" si="62"/>
        <v>0</v>
      </c>
      <c r="AF272" s="49">
        <f t="shared" si="63"/>
        <v>9.9999999999909051E-3</v>
      </c>
      <c r="AG272" t="s">
        <v>334</v>
      </c>
      <c r="AH272" s="55">
        <v>6999.95</v>
      </c>
      <c r="AI272">
        <v>559.99</v>
      </c>
      <c r="AJ272" s="49">
        <f t="shared" si="52"/>
        <v>0</v>
      </c>
      <c r="AK272" s="49">
        <f t="shared" si="53"/>
        <v>0</v>
      </c>
      <c r="AL272" t="s">
        <v>334</v>
      </c>
      <c r="AM272" s="81">
        <v>6999.95</v>
      </c>
      <c r="AN272" s="81">
        <v>781.49</v>
      </c>
      <c r="AO272" s="81">
        <v>0</v>
      </c>
      <c r="AP272" s="81">
        <v>0</v>
      </c>
    </row>
    <row r="273" spans="1:42">
      <c r="A273" s="38" t="s">
        <v>335</v>
      </c>
      <c r="B273" s="38" t="s">
        <v>68</v>
      </c>
      <c r="C273" s="38" t="s">
        <v>82</v>
      </c>
      <c r="D273" s="38" t="s">
        <v>66</v>
      </c>
      <c r="E273" s="39">
        <v>105.13</v>
      </c>
      <c r="F273" s="39">
        <v>0</v>
      </c>
      <c r="G273" s="39">
        <v>0</v>
      </c>
      <c r="H273" s="40">
        <v>0</v>
      </c>
      <c r="I273" s="40">
        <v>0</v>
      </c>
      <c r="J273" s="40">
        <v>8.41</v>
      </c>
      <c r="K273" s="40">
        <v>0</v>
      </c>
      <c r="L273" s="40">
        <v>0</v>
      </c>
      <c r="M273" s="40">
        <v>0</v>
      </c>
      <c r="N273" s="40">
        <v>0</v>
      </c>
      <c r="O273" s="40">
        <v>105.13</v>
      </c>
      <c r="P273" s="40">
        <v>0</v>
      </c>
      <c r="Q273" s="40">
        <v>0</v>
      </c>
      <c r="R273" s="40">
        <v>7.88</v>
      </c>
      <c r="S273" s="40">
        <v>0</v>
      </c>
      <c r="T273" s="40">
        <v>0</v>
      </c>
      <c r="U273" s="40">
        <v>0</v>
      </c>
      <c r="V273" s="40">
        <v>105.13</v>
      </c>
      <c r="W273" s="40">
        <v>0</v>
      </c>
      <c r="X273" s="40">
        <v>0</v>
      </c>
      <c r="Y273" s="40">
        <v>0</v>
      </c>
      <c r="Z273" s="40">
        <v>0</v>
      </c>
      <c r="AA273" s="40">
        <v>3.91</v>
      </c>
      <c r="AB273" s="40">
        <v>21.03</v>
      </c>
      <c r="AC273" s="40">
        <v>6.1</v>
      </c>
      <c r="AD273" s="40">
        <v>38.909999999999997</v>
      </c>
      <c r="AE273" s="49">
        <f t="shared" si="62"/>
        <v>0</v>
      </c>
      <c r="AF273" s="49">
        <f t="shared" si="63"/>
        <v>0</v>
      </c>
      <c r="AG273" t="s">
        <v>335</v>
      </c>
      <c r="AH273">
        <v>105.13</v>
      </c>
      <c r="AI273">
        <v>8.41</v>
      </c>
      <c r="AJ273" s="49">
        <f t="shared" si="52"/>
        <v>0</v>
      </c>
      <c r="AK273" s="49">
        <f t="shared" si="53"/>
        <v>0</v>
      </c>
      <c r="AL273" t="s">
        <v>335</v>
      </c>
      <c r="AM273" s="81">
        <v>105.13</v>
      </c>
      <c r="AN273" s="81">
        <v>7.88</v>
      </c>
      <c r="AO273" s="81">
        <v>0</v>
      </c>
      <c r="AP273" s="81">
        <v>0</v>
      </c>
    </row>
    <row r="274" spans="1:42">
      <c r="A274" s="38" t="s">
        <v>336</v>
      </c>
      <c r="B274" s="38" t="s">
        <v>68</v>
      </c>
      <c r="C274" s="38" t="s">
        <v>65</v>
      </c>
      <c r="D274" s="38" t="s">
        <v>66</v>
      </c>
      <c r="E274" s="39">
        <v>3825.32</v>
      </c>
      <c r="F274" s="39">
        <v>0</v>
      </c>
      <c r="G274" s="39">
        <v>0</v>
      </c>
      <c r="H274" s="40">
        <v>0</v>
      </c>
      <c r="I274" s="40">
        <v>0</v>
      </c>
      <c r="J274" s="40">
        <v>306.02999999999997</v>
      </c>
      <c r="K274" s="40">
        <v>0</v>
      </c>
      <c r="L274" s="40">
        <v>0</v>
      </c>
      <c r="M274" s="40">
        <v>0</v>
      </c>
      <c r="N274" s="40">
        <v>0</v>
      </c>
      <c r="O274" s="40">
        <v>3825.32</v>
      </c>
      <c r="P274" s="40">
        <v>0</v>
      </c>
      <c r="Q274" s="40">
        <v>0</v>
      </c>
      <c r="R274" s="40">
        <v>347.62</v>
      </c>
      <c r="S274" s="40">
        <v>0</v>
      </c>
      <c r="T274" s="40">
        <v>0</v>
      </c>
      <c r="U274" s="40">
        <v>0</v>
      </c>
      <c r="V274" s="40">
        <v>3825.32</v>
      </c>
      <c r="W274" s="40">
        <v>0</v>
      </c>
      <c r="X274" s="40">
        <v>0</v>
      </c>
      <c r="Y274" s="40">
        <v>0</v>
      </c>
      <c r="Z274" s="40">
        <v>0</v>
      </c>
      <c r="AA274" s="40">
        <v>142.22</v>
      </c>
      <c r="AB274" s="40">
        <v>765.06</v>
      </c>
      <c r="AC274" s="40">
        <v>221.87</v>
      </c>
      <c r="AD274" s="40">
        <v>1476.77</v>
      </c>
      <c r="AE274" s="49">
        <f t="shared" si="62"/>
        <v>0</v>
      </c>
      <c r="AF274" s="49">
        <f t="shared" si="63"/>
        <v>9.9999999999909051E-3</v>
      </c>
      <c r="AG274" t="s">
        <v>336</v>
      </c>
      <c r="AH274" s="55">
        <v>3825.32</v>
      </c>
      <c r="AI274">
        <v>306.02</v>
      </c>
      <c r="AJ274" s="49">
        <f t="shared" si="52"/>
        <v>0</v>
      </c>
      <c r="AK274" s="49">
        <f t="shared" si="53"/>
        <v>0</v>
      </c>
      <c r="AL274" t="s">
        <v>336</v>
      </c>
      <c r="AM274" s="81">
        <v>3825.32</v>
      </c>
      <c r="AN274" s="81">
        <v>347.62</v>
      </c>
      <c r="AO274" s="81">
        <v>0</v>
      </c>
      <c r="AP274" s="81">
        <v>0</v>
      </c>
    </row>
    <row r="275" spans="1:42">
      <c r="A275" s="38" t="s">
        <v>337</v>
      </c>
      <c r="B275" s="38" t="s">
        <v>68</v>
      </c>
      <c r="C275" s="38" t="s">
        <v>65</v>
      </c>
      <c r="D275" s="38" t="s">
        <v>66</v>
      </c>
      <c r="E275" s="39">
        <v>799.32</v>
      </c>
      <c r="F275" s="39">
        <v>0</v>
      </c>
      <c r="G275" s="39">
        <v>0</v>
      </c>
      <c r="H275" s="40">
        <v>0</v>
      </c>
      <c r="I275" s="40">
        <v>0</v>
      </c>
      <c r="J275" s="40">
        <v>63.95</v>
      </c>
      <c r="K275" s="40">
        <v>0</v>
      </c>
      <c r="L275" s="40">
        <v>0</v>
      </c>
      <c r="M275" s="40">
        <v>0</v>
      </c>
      <c r="N275" s="40">
        <v>0</v>
      </c>
      <c r="O275" s="40">
        <v>799.32</v>
      </c>
      <c r="P275" s="40">
        <v>0</v>
      </c>
      <c r="Q275" s="40">
        <v>0</v>
      </c>
      <c r="R275" s="40">
        <v>59.94</v>
      </c>
      <c r="S275" s="40">
        <v>0</v>
      </c>
      <c r="T275" s="40">
        <v>0</v>
      </c>
      <c r="U275" s="40">
        <v>0</v>
      </c>
      <c r="V275" s="40">
        <v>799.32</v>
      </c>
      <c r="W275" s="40">
        <v>0</v>
      </c>
      <c r="X275" s="40">
        <v>0</v>
      </c>
      <c r="Y275" s="40">
        <v>0</v>
      </c>
      <c r="Z275" s="40">
        <v>0</v>
      </c>
      <c r="AA275" s="40">
        <v>29.72</v>
      </c>
      <c r="AB275" s="40">
        <v>159.86000000000001</v>
      </c>
      <c r="AC275" s="40">
        <v>46.36</v>
      </c>
      <c r="AD275" s="40">
        <v>295.88</v>
      </c>
      <c r="AE275" s="49">
        <f t="shared" si="62"/>
        <v>0</v>
      </c>
      <c r="AF275" s="49">
        <f t="shared" si="63"/>
        <v>1.0000000000005116E-2</v>
      </c>
      <c r="AG275" t="s">
        <v>337</v>
      </c>
      <c r="AH275">
        <v>799.32</v>
      </c>
      <c r="AI275">
        <v>63.94</v>
      </c>
      <c r="AJ275" s="49">
        <f t="shared" ref="AJ275:AJ278" si="64">(O275+P275)-(AM275+AO275)</f>
        <v>0</v>
      </c>
      <c r="AK275" s="49">
        <f t="shared" ref="AK275:AK278" si="65">(R275+S275+T275+U275)-(AN275+AP275)</f>
        <v>0</v>
      </c>
      <c r="AL275" t="s">
        <v>337</v>
      </c>
      <c r="AM275" s="81">
        <v>799.32</v>
      </c>
      <c r="AN275" s="81">
        <v>59.94</v>
      </c>
      <c r="AO275" s="81">
        <v>0</v>
      </c>
      <c r="AP275" s="81">
        <v>0</v>
      </c>
    </row>
    <row r="276" spans="1:42">
      <c r="A276" s="38" t="s">
        <v>338</v>
      </c>
      <c r="B276" s="38" t="s">
        <v>68</v>
      </c>
      <c r="C276" s="38" t="s">
        <v>65</v>
      </c>
      <c r="D276" s="38" t="s">
        <v>66</v>
      </c>
      <c r="E276" s="39">
        <v>4114.16</v>
      </c>
      <c r="F276" s="39">
        <v>0</v>
      </c>
      <c r="G276" s="39">
        <v>0</v>
      </c>
      <c r="H276" s="40">
        <v>0</v>
      </c>
      <c r="I276" s="40">
        <v>0</v>
      </c>
      <c r="J276" s="40">
        <v>329.13</v>
      </c>
      <c r="K276" s="40">
        <v>0</v>
      </c>
      <c r="L276" s="40">
        <v>0</v>
      </c>
      <c r="M276" s="40">
        <v>0</v>
      </c>
      <c r="N276" s="40">
        <v>0</v>
      </c>
      <c r="O276" s="40">
        <v>4114.16</v>
      </c>
      <c r="P276" s="40">
        <v>0</v>
      </c>
      <c r="Q276" s="40">
        <v>0</v>
      </c>
      <c r="R276" s="40">
        <v>382.28</v>
      </c>
      <c r="S276" s="40">
        <v>0</v>
      </c>
      <c r="T276" s="40">
        <v>0</v>
      </c>
      <c r="U276" s="40">
        <v>0</v>
      </c>
      <c r="V276" s="40">
        <v>4114.16</v>
      </c>
      <c r="W276" s="40">
        <v>0</v>
      </c>
      <c r="X276" s="40">
        <v>0</v>
      </c>
      <c r="Y276" s="40">
        <v>0</v>
      </c>
      <c r="Z276" s="40">
        <v>0</v>
      </c>
      <c r="AA276" s="40">
        <v>152.96</v>
      </c>
      <c r="AB276" s="40">
        <v>822.83</v>
      </c>
      <c r="AC276" s="40">
        <v>238.62</v>
      </c>
      <c r="AD276" s="40">
        <v>1596.69</v>
      </c>
      <c r="AE276" s="49">
        <f t="shared" si="62"/>
        <v>0</v>
      </c>
      <c r="AF276" s="49">
        <f t="shared" si="63"/>
        <v>0</v>
      </c>
      <c r="AG276" t="s">
        <v>338</v>
      </c>
      <c r="AH276" s="55">
        <v>4114.16</v>
      </c>
      <c r="AI276">
        <v>329.13</v>
      </c>
      <c r="AJ276" s="49">
        <f t="shared" si="64"/>
        <v>0</v>
      </c>
      <c r="AK276" s="49">
        <f t="shared" si="65"/>
        <v>0</v>
      </c>
      <c r="AL276" t="s">
        <v>338</v>
      </c>
      <c r="AM276" s="81">
        <v>4114.16</v>
      </c>
      <c r="AN276" s="81">
        <v>382.28</v>
      </c>
      <c r="AO276" s="81">
        <v>0</v>
      </c>
      <c r="AP276" s="81">
        <v>0</v>
      </c>
    </row>
    <row r="277" spans="1:42">
      <c r="A277" s="38" t="s">
        <v>339</v>
      </c>
      <c r="B277" s="38" t="s">
        <v>68</v>
      </c>
      <c r="C277" s="38" t="s">
        <v>65</v>
      </c>
      <c r="D277" s="38" t="s">
        <v>66</v>
      </c>
      <c r="E277" s="39">
        <v>7130.1</v>
      </c>
      <c r="F277" s="39">
        <v>0</v>
      </c>
      <c r="G277" s="39">
        <v>0</v>
      </c>
      <c r="H277" s="40">
        <v>0</v>
      </c>
      <c r="I277" s="40">
        <v>0</v>
      </c>
      <c r="J277" s="40">
        <v>570.41</v>
      </c>
      <c r="K277" s="40">
        <v>0</v>
      </c>
      <c r="L277" s="40">
        <v>0</v>
      </c>
      <c r="M277" s="40">
        <v>0</v>
      </c>
      <c r="N277" s="40">
        <v>0</v>
      </c>
      <c r="O277" s="40">
        <v>7130.1</v>
      </c>
      <c r="P277" s="40">
        <v>0</v>
      </c>
      <c r="Q277" s="40">
        <v>0</v>
      </c>
      <c r="R277" s="40">
        <v>799.71</v>
      </c>
      <c r="S277" s="40">
        <v>0</v>
      </c>
      <c r="T277" s="40">
        <v>0</v>
      </c>
      <c r="U277" s="40">
        <v>0</v>
      </c>
      <c r="V277" s="40">
        <v>7130.1</v>
      </c>
      <c r="W277" s="40">
        <v>0</v>
      </c>
      <c r="X277" s="40">
        <v>802.84</v>
      </c>
      <c r="Y277" s="40">
        <v>0</v>
      </c>
      <c r="Z277" s="40">
        <v>0</v>
      </c>
      <c r="AA277" s="40">
        <v>265.08999999999997</v>
      </c>
      <c r="AB277" s="40">
        <v>1426.02</v>
      </c>
      <c r="AC277" s="40">
        <v>413.55</v>
      </c>
      <c r="AD277" s="40">
        <v>2904.37</v>
      </c>
      <c r="AE277" s="49">
        <f t="shared" si="62"/>
        <v>0</v>
      </c>
      <c r="AF277" s="49">
        <f t="shared" si="63"/>
        <v>9.9999999999909051E-3</v>
      </c>
      <c r="AG277" t="s">
        <v>339</v>
      </c>
      <c r="AH277" s="55">
        <v>7130.1</v>
      </c>
      <c r="AI277">
        <v>570.4</v>
      </c>
      <c r="AJ277" s="49">
        <f t="shared" si="64"/>
        <v>0</v>
      </c>
      <c r="AK277" s="49">
        <f t="shared" si="65"/>
        <v>0</v>
      </c>
      <c r="AL277" t="s">
        <v>339</v>
      </c>
      <c r="AM277" s="81">
        <v>7130.1</v>
      </c>
      <c r="AN277" s="81">
        <v>799.71</v>
      </c>
      <c r="AO277" s="81">
        <v>0</v>
      </c>
      <c r="AP277" s="81">
        <v>0</v>
      </c>
    </row>
    <row r="278" spans="1:42">
      <c r="A278" s="38" t="s">
        <v>340</v>
      </c>
      <c r="B278" s="38" t="s">
        <v>113</v>
      </c>
      <c r="C278" s="38" t="s">
        <v>65</v>
      </c>
      <c r="D278" s="38" t="s">
        <v>66</v>
      </c>
      <c r="E278" s="39">
        <v>2354.0100000000002</v>
      </c>
      <c r="F278" s="39">
        <v>0</v>
      </c>
      <c r="G278" s="39">
        <v>0</v>
      </c>
      <c r="H278" s="40">
        <v>0</v>
      </c>
      <c r="I278" s="40">
        <v>0</v>
      </c>
      <c r="J278" s="40">
        <v>188.32</v>
      </c>
      <c r="K278" s="40">
        <v>0</v>
      </c>
      <c r="L278" s="40">
        <v>0</v>
      </c>
      <c r="M278" s="40">
        <v>0</v>
      </c>
      <c r="N278" s="40">
        <v>0</v>
      </c>
      <c r="O278" s="40">
        <v>2354.0100000000002</v>
      </c>
      <c r="P278" s="40">
        <v>0</v>
      </c>
      <c r="Q278" s="40">
        <v>0</v>
      </c>
      <c r="R278" s="40">
        <v>187.54</v>
      </c>
      <c r="S278" s="40">
        <v>0</v>
      </c>
      <c r="T278" s="40">
        <v>0</v>
      </c>
      <c r="U278" s="40">
        <v>0</v>
      </c>
      <c r="V278" s="40">
        <v>2354.0100000000002</v>
      </c>
      <c r="W278" s="40">
        <v>0</v>
      </c>
      <c r="X278" s="40">
        <v>0</v>
      </c>
      <c r="Y278" s="40">
        <v>0</v>
      </c>
      <c r="Z278" s="40">
        <v>0</v>
      </c>
      <c r="AA278" s="40">
        <v>87.52</v>
      </c>
      <c r="AB278" s="40">
        <v>470.8</v>
      </c>
      <c r="AC278" s="40">
        <v>136.53</v>
      </c>
      <c r="AD278" s="40">
        <v>882.39</v>
      </c>
      <c r="AE278" s="49">
        <f t="shared" si="62"/>
        <v>0</v>
      </c>
      <c r="AF278" s="49">
        <f t="shared" si="63"/>
        <v>0</v>
      </c>
      <c r="AG278" t="s">
        <v>340</v>
      </c>
      <c r="AH278" s="55">
        <v>2354.0100000000002</v>
      </c>
      <c r="AI278">
        <v>188.32</v>
      </c>
      <c r="AJ278" s="49">
        <f t="shared" si="64"/>
        <v>0</v>
      </c>
      <c r="AK278" s="49">
        <f t="shared" si="65"/>
        <v>0</v>
      </c>
      <c r="AL278" t="s">
        <v>340</v>
      </c>
      <c r="AM278" s="81">
        <v>2354.0100000000002</v>
      </c>
      <c r="AN278" s="81">
        <v>187.54</v>
      </c>
      <c r="AO278" s="81">
        <v>0</v>
      </c>
      <c r="AP278" s="81">
        <v>0</v>
      </c>
    </row>
    <row r="279" spans="1:42">
      <c r="E279" s="36">
        <f>SUM(E20:E278)</f>
        <v>885451.87999999989</v>
      </c>
      <c r="F279" s="36">
        <f t="shared" ref="F279:X279" si="66">SUM(F20:F278)</f>
        <v>30662.760000000002</v>
      </c>
      <c r="G279" s="36">
        <f t="shared" si="66"/>
        <v>2423.9500000000003</v>
      </c>
      <c r="H279" s="36">
        <f t="shared" si="66"/>
        <v>38608.840000000004</v>
      </c>
      <c r="I279" s="36">
        <f t="shared" si="66"/>
        <v>0</v>
      </c>
      <c r="J279" s="36">
        <f t="shared" si="66"/>
        <v>70611.700000000026</v>
      </c>
      <c r="K279" s="36">
        <f t="shared" si="66"/>
        <v>2453.0300000000002</v>
      </c>
      <c r="L279" s="36">
        <f t="shared" si="66"/>
        <v>193.92000000000002</v>
      </c>
      <c r="M279" s="36">
        <f t="shared" si="66"/>
        <v>3088.7400000000002</v>
      </c>
      <c r="N279" s="36">
        <f t="shared" si="66"/>
        <v>0</v>
      </c>
      <c r="O279" s="36">
        <f t="shared" si="66"/>
        <v>893927.42999999982</v>
      </c>
      <c r="P279" s="36">
        <f t="shared" si="66"/>
        <v>41032.790000000008</v>
      </c>
      <c r="Q279" s="36">
        <f t="shared" si="66"/>
        <v>1300</v>
      </c>
      <c r="R279" s="36">
        <f t="shared" si="66"/>
        <v>84246.860000000015</v>
      </c>
      <c r="S279" s="36">
        <f t="shared" si="66"/>
        <v>3500.33</v>
      </c>
      <c r="T279" s="36">
        <f t="shared" si="66"/>
        <v>583.62</v>
      </c>
      <c r="U279" s="36">
        <f t="shared" si="66"/>
        <v>0</v>
      </c>
      <c r="V279" s="36">
        <f t="shared" si="66"/>
        <v>887336.0199999999</v>
      </c>
      <c r="W279" s="36">
        <f t="shared" si="66"/>
        <v>5826.28</v>
      </c>
      <c r="X279" s="36">
        <f t="shared" si="66"/>
        <v>30364.61</v>
      </c>
      <c r="Y279" s="36">
        <v>99.35</v>
      </c>
      <c r="Z279" s="36">
        <v>0</v>
      </c>
      <c r="AA279" s="36">
        <v>34760.89</v>
      </c>
      <c r="AB279" s="36">
        <v>186992.04</v>
      </c>
      <c r="AC279" s="36">
        <v>54227.69</v>
      </c>
      <c r="AD279" s="36">
        <v>364294.91</v>
      </c>
      <c r="AH279" s="55">
        <f>SUM(AH20:AH278)</f>
        <v>875037.39999999979</v>
      </c>
      <c r="AI279" s="55">
        <f>SUM(AI20:AI278)</f>
        <v>69777.460000000079</v>
      </c>
      <c r="AM279" s="81">
        <f t="shared" ref="AM279:AO279" si="67">SUM(AM20:AM278)</f>
        <v>893927.42999999982</v>
      </c>
      <c r="AN279" s="81">
        <f t="shared" si="67"/>
        <v>84830.48</v>
      </c>
      <c r="AO279" s="81">
        <f t="shared" si="67"/>
        <v>41032.790000000008</v>
      </c>
      <c r="AP279" s="81">
        <f>SUM(AP20:AP278)</f>
        <v>3500.33</v>
      </c>
    </row>
  </sheetData>
  <autoFilter ref="A19:AP279" xr:uid="{00000000-0001-0000-0000-000000000000}"/>
  <mergeCells count="3">
    <mergeCell ref="T2:T3"/>
    <mergeCell ref="Q2:Q3"/>
    <mergeCell ref="V2:V3"/>
  </mergeCells>
  <conditionalFormatting sqref="A20:XFD20 AL21:XFD28 AG21:AI29 A21:AD263 AE21:AF278 AJ21:AK278 AL29:AP29 AQ29:XFD263 A265:AD278">
    <cfRule type="expression" dxfId="134" priority="23">
      <formula>$D20="Z"</formula>
    </cfRule>
    <cfRule type="expression" dxfId="133" priority="21">
      <formula>$D20="A"</formula>
    </cfRule>
    <cfRule type="expression" dxfId="132" priority="22">
      <formula>$D20="D"</formula>
    </cfRule>
    <cfRule type="expression" dxfId="131" priority="24">
      <formula>$C20="D"</formula>
    </cfRule>
    <cfRule type="expression" dxfId="130" priority="25">
      <formula>$C20="P"</formula>
    </cfRule>
  </conditionalFormatting>
  <conditionalFormatting sqref="AE20:XFD20 AL21:XFD28 AG21:AI159 AE21:AF278 AJ21:AK278 AQ29:XFD206 AL29:AP214">
    <cfRule type="expression" dxfId="129" priority="42">
      <formula>#REF!="D"</formula>
    </cfRule>
    <cfRule type="expression" dxfId="128" priority="43">
      <formula>#REF!="N"</formula>
    </cfRule>
    <cfRule type="expression" dxfId="127" priority="44">
      <formula>#REF!="Z"</formula>
    </cfRule>
    <cfRule type="expression" dxfId="126" priority="45">
      <formula>#REF!="D"</formula>
    </cfRule>
    <cfRule type="expression" dxfId="125" priority="46">
      <formula>#REF!="T"</formula>
    </cfRule>
  </conditionalFormatting>
  <conditionalFormatting sqref="AG30:AI32 AL30:AP43">
    <cfRule type="expression" dxfId="124" priority="52">
      <formula>$D29="A"</formula>
    </cfRule>
    <cfRule type="expression" dxfId="123" priority="53">
      <formula>$D29="D"</formula>
    </cfRule>
    <cfRule type="expression" dxfId="122" priority="55">
      <formula>$C29="D"</formula>
    </cfRule>
    <cfRule type="expression" dxfId="121" priority="56">
      <formula>$C29="P"</formula>
    </cfRule>
    <cfRule type="expression" dxfId="120" priority="54">
      <formula>$D29="Z"</formula>
    </cfRule>
  </conditionalFormatting>
  <conditionalFormatting sqref="AG33:AI39 AL44:AP101">
    <cfRule type="expression" dxfId="119" priority="72">
      <formula>$D31="A"</formula>
    </cfRule>
    <cfRule type="expression" dxfId="118" priority="73">
      <formula>$D31="D"</formula>
    </cfRule>
    <cfRule type="expression" dxfId="117" priority="74">
      <formula>$D31="Z"</formula>
    </cfRule>
    <cfRule type="expression" dxfId="116" priority="75">
      <formula>$C31="D"</formula>
    </cfRule>
    <cfRule type="expression" dxfId="115" priority="76">
      <formula>$C31="P"</formula>
    </cfRule>
  </conditionalFormatting>
  <conditionalFormatting sqref="AG40:AI43 AL102:AP123">
    <cfRule type="expression" dxfId="114" priority="96">
      <formula>$C37="P"</formula>
    </cfRule>
    <cfRule type="expression" dxfId="113" priority="92">
      <formula>$D37="A"</formula>
    </cfRule>
    <cfRule type="expression" dxfId="112" priority="93">
      <formula>$D37="D"</formula>
    </cfRule>
    <cfRule type="expression" dxfId="111" priority="94">
      <formula>$D37="Z"</formula>
    </cfRule>
    <cfRule type="expression" dxfId="110" priority="95">
      <formula>$C37="D"</formula>
    </cfRule>
  </conditionalFormatting>
  <conditionalFormatting sqref="AG44:AI48 AL124:AP140">
    <cfRule type="expression" dxfId="109" priority="112">
      <formula>$D40="A"</formula>
    </cfRule>
    <cfRule type="expression" dxfId="108" priority="113">
      <formula>$D40="D"</formula>
    </cfRule>
    <cfRule type="expression" dxfId="107" priority="114">
      <formula>$D40="Z"</formula>
    </cfRule>
    <cfRule type="expression" dxfId="106" priority="115">
      <formula>$C40="D"</formula>
    </cfRule>
    <cfRule type="expression" dxfId="105" priority="116">
      <formula>$C40="P"</formula>
    </cfRule>
  </conditionalFormatting>
  <conditionalFormatting sqref="AG49:AI65 AL141:AP167">
    <cfRule type="expression" dxfId="104" priority="132">
      <formula>$D44="A"</formula>
    </cfRule>
    <cfRule type="expression" dxfId="103" priority="133">
      <formula>$D44="D"</formula>
    </cfRule>
    <cfRule type="expression" dxfId="102" priority="134">
      <formula>$D44="Z"</formula>
    </cfRule>
    <cfRule type="expression" dxfId="101" priority="135">
      <formula>$C44="D"</formula>
    </cfRule>
    <cfRule type="expression" dxfId="100" priority="136">
      <formula>$C44="P"</formula>
    </cfRule>
  </conditionalFormatting>
  <conditionalFormatting sqref="AG66:AI71 AL168:AP211">
    <cfRule type="expression" dxfId="99" priority="152">
      <formula>$D60="A"</formula>
    </cfRule>
    <cfRule type="expression" dxfId="98" priority="153">
      <formula>$D60="D"</formula>
    </cfRule>
    <cfRule type="expression" dxfId="97" priority="154">
      <formula>$D60="Z"</formula>
    </cfRule>
    <cfRule type="expression" dxfId="96" priority="155">
      <formula>$C60="D"</formula>
    </cfRule>
    <cfRule type="expression" dxfId="95" priority="156">
      <formula>$C60="P"</formula>
    </cfRule>
  </conditionalFormatting>
  <conditionalFormatting sqref="AG72:AI84 AL212:AP212">
    <cfRule type="expression" dxfId="94" priority="175">
      <formula>$C65="D"</formula>
    </cfRule>
    <cfRule type="expression" dxfId="93" priority="176">
      <formula>$C65="P"</formula>
    </cfRule>
    <cfRule type="expression" dxfId="92" priority="174">
      <formula>$D65="Z"</formula>
    </cfRule>
    <cfRule type="expression" dxfId="91" priority="172">
      <formula>$D65="A"</formula>
    </cfRule>
    <cfRule type="expression" dxfId="90" priority="173">
      <formula>$D65="D"</formula>
    </cfRule>
  </conditionalFormatting>
  <conditionalFormatting sqref="AG85:AI96 AL213:AP271">
    <cfRule type="expression" dxfId="89" priority="192">
      <formula>$D77="A"</formula>
    </cfRule>
    <cfRule type="expression" dxfId="88" priority="193">
      <formula>$D77="D"</formula>
    </cfRule>
    <cfRule type="expression" dxfId="87" priority="194">
      <formula>$D77="Z"</formula>
    </cfRule>
    <cfRule type="expression" dxfId="86" priority="196">
      <formula>$C77="P"</formula>
    </cfRule>
    <cfRule type="expression" dxfId="85" priority="195">
      <formula>$C77="D"</formula>
    </cfRule>
  </conditionalFormatting>
  <conditionalFormatting sqref="AG97:AI101">
    <cfRule type="expression" dxfId="84" priority="212">
      <formula>$D88="A"</formula>
    </cfRule>
    <cfRule type="expression" dxfId="83" priority="216">
      <formula>$C88="P"</formula>
    </cfRule>
    <cfRule type="expression" dxfId="82" priority="215">
      <formula>$C88="D"</formula>
    </cfRule>
    <cfRule type="expression" dxfId="81" priority="214">
      <formula>$D88="Z"</formula>
    </cfRule>
    <cfRule type="expression" dxfId="80" priority="213">
      <formula>$D88="D"</formula>
    </cfRule>
  </conditionalFormatting>
  <conditionalFormatting sqref="AG102:AI123">
    <cfRule type="expression" dxfId="79" priority="234">
      <formula>$D92="Z"</formula>
    </cfRule>
    <cfRule type="expression" dxfId="78" priority="232">
      <formula>$D92="A"</formula>
    </cfRule>
    <cfRule type="expression" dxfId="77" priority="233">
      <formula>$D92="D"</formula>
    </cfRule>
    <cfRule type="expression" dxfId="76" priority="235">
      <formula>$C92="D"</formula>
    </cfRule>
    <cfRule type="expression" dxfId="75" priority="236">
      <formula>$C92="P"</formula>
    </cfRule>
  </conditionalFormatting>
  <conditionalFormatting sqref="AG124:AI137">
    <cfRule type="expression" dxfId="74" priority="252">
      <formula>$D113="A"</formula>
    </cfRule>
    <cfRule type="expression" dxfId="73" priority="253">
      <formula>$D113="D"</formula>
    </cfRule>
    <cfRule type="expression" dxfId="72" priority="254">
      <formula>$D113="Z"</formula>
    </cfRule>
    <cfRule type="expression" dxfId="71" priority="255">
      <formula>$C113="D"</formula>
    </cfRule>
    <cfRule type="expression" dxfId="70" priority="256">
      <formula>$C113="P"</formula>
    </cfRule>
  </conditionalFormatting>
  <conditionalFormatting sqref="AG138:AI140">
    <cfRule type="expression" dxfId="69" priority="272">
      <formula>$D126="A"</formula>
    </cfRule>
    <cfRule type="expression" dxfId="68" priority="273">
      <formula>$D126="D"</formula>
    </cfRule>
    <cfRule type="expression" dxfId="67" priority="274">
      <formula>$D126="Z"</formula>
    </cfRule>
    <cfRule type="expression" dxfId="66" priority="275">
      <formula>$C126="D"</formula>
    </cfRule>
    <cfRule type="expression" dxfId="65" priority="276">
      <formula>$C126="P"</formula>
    </cfRule>
  </conditionalFormatting>
  <conditionalFormatting sqref="AG141:AI154">
    <cfRule type="expression" dxfId="64" priority="292">
      <formula>$D128="A"</formula>
    </cfRule>
    <cfRule type="expression" dxfId="63" priority="296">
      <formula>$C128="P"</formula>
    </cfRule>
    <cfRule type="expression" dxfId="62" priority="295">
      <formula>$C128="D"</formula>
    </cfRule>
    <cfRule type="expression" dxfId="61" priority="294">
      <formula>$D128="Z"</formula>
    </cfRule>
    <cfRule type="expression" dxfId="60" priority="293">
      <formula>$D128="D"</formula>
    </cfRule>
  </conditionalFormatting>
  <conditionalFormatting sqref="AG155:AI156">
    <cfRule type="expression" dxfId="59" priority="312">
      <formula>$D141="A"</formula>
    </cfRule>
    <cfRule type="expression" dxfId="58" priority="313">
      <formula>$D141="D"</formula>
    </cfRule>
    <cfRule type="expression" dxfId="57" priority="314">
      <formula>$D141="Z"</formula>
    </cfRule>
    <cfRule type="expression" dxfId="56" priority="315">
      <formula>$C141="D"</formula>
    </cfRule>
    <cfRule type="expression" dxfId="55" priority="316">
      <formula>$C141="P"</formula>
    </cfRule>
  </conditionalFormatting>
  <conditionalFormatting sqref="AG157:AI158">
    <cfRule type="expression" dxfId="54" priority="332">
      <formula>$D142="A"</formula>
    </cfRule>
    <cfRule type="expression" dxfId="53" priority="333">
      <formula>$D142="D"</formula>
    </cfRule>
    <cfRule type="expression" dxfId="52" priority="334">
      <formula>$D142="Z"</formula>
    </cfRule>
    <cfRule type="expression" dxfId="51" priority="335">
      <formula>$C142="D"</formula>
    </cfRule>
    <cfRule type="expression" dxfId="50" priority="336">
      <formula>$C142="P"</formula>
    </cfRule>
  </conditionalFormatting>
  <conditionalFormatting sqref="AG159:AI159">
    <cfRule type="expression" dxfId="49" priority="356">
      <formula>$C143="P"</formula>
    </cfRule>
    <cfRule type="expression" dxfId="48" priority="352">
      <formula>$D143="A"</formula>
    </cfRule>
    <cfRule type="expression" dxfId="47" priority="353">
      <formula>$D143="D"</formula>
    </cfRule>
    <cfRule type="expression" dxfId="46" priority="354">
      <formula>$D143="Z"</formula>
    </cfRule>
    <cfRule type="expression" dxfId="45" priority="355">
      <formula>$C143="D"</formula>
    </cfRule>
  </conditionalFormatting>
  <conditionalFormatting sqref="AG160:AI167">
    <cfRule type="expression" dxfId="44" priority="8">
      <formula>$D144="Z"</formula>
    </cfRule>
    <cfRule type="expression" dxfId="43" priority="7">
      <formula>$D144="D"</formula>
    </cfRule>
    <cfRule type="expression" dxfId="42" priority="10">
      <formula>$C144="P"</formula>
    </cfRule>
    <cfRule type="expression" dxfId="41" priority="9">
      <formula>$C144="D"</formula>
    </cfRule>
    <cfRule type="expression" dxfId="40" priority="6">
      <formula>$D144="A"</formula>
    </cfRule>
  </conditionalFormatting>
  <conditionalFormatting sqref="AG160:AI225">
    <cfRule type="expression" dxfId="39" priority="4">
      <formula>#REF!="D"</formula>
    </cfRule>
    <cfRule type="expression" dxfId="38" priority="5">
      <formula>#REF!="T"</formula>
    </cfRule>
    <cfRule type="expression" dxfId="37" priority="1">
      <formula>#REF!="D"</formula>
    </cfRule>
    <cfRule type="expression" dxfId="36" priority="2">
      <formula>#REF!="N"</formula>
    </cfRule>
    <cfRule type="expression" dxfId="35" priority="3">
      <formula>#REF!="Z"</formula>
    </cfRule>
  </conditionalFormatting>
  <conditionalFormatting sqref="AG168:AI211">
    <cfRule type="expression" dxfId="34" priority="372">
      <formula>$D151="A"</formula>
    </cfRule>
    <cfRule type="expression" dxfId="33" priority="373">
      <formula>$D151="D"</formula>
    </cfRule>
    <cfRule type="expression" dxfId="32" priority="374">
      <formula>$D151="Z"</formula>
    </cfRule>
    <cfRule type="expression" dxfId="31" priority="375">
      <formula>$C151="D"</formula>
    </cfRule>
    <cfRule type="expression" dxfId="30" priority="376">
      <formula>$C151="P"</formula>
    </cfRule>
  </conditionalFormatting>
  <conditionalFormatting sqref="AG212:AI212">
    <cfRule type="expression" dxfId="29" priority="416">
      <formula>$C194="P"</formula>
    </cfRule>
    <cfRule type="expression" dxfId="28" priority="415">
      <formula>$C194="D"</formula>
    </cfRule>
    <cfRule type="expression" dxfId="27" priority="414">
      <formula>$D194="Z"</formula>
    </cfRule>
    <cfRule type="expression" dxfId="26" priority="413">
      <formula>$D194="D"</formula>
    </cfRule>
    <cfRule type="expression" dxfId="25" priority="412">
      <formula>$D194="A"</formula>
    </cfRule>
  </conditionalFormatting>
  <conditionalFormatting sqref="AG213:AI228 AG234:AI239">
    <cfRule type="expression" dxfId="24" priority="394">
      <formula>$D194="Z"</formula>
    </cfRule>
    <cfRule type="expression" dxfId="23" priority="396">
      <formula>$C194="P"</formula>
    </cfRule>
    <cfRule type="expression" dxfId="22" priority="395">
      <formula>$C194="D"</formula>
    </cfRule>
    <cfRule type="expression" dxfId="21" priority="392">
      <formula>$D194="A"</formula>
    </cfRule>
    <cfRule type="expression" dxfId="20" priority="393">
      <formula>$D194="D"</formula>
    </cfRule>
  </conditionalFormatting>
  <conditionalFormatting sqref="AG229:AI233 AG240:AI267">
    <cfRule type="expression" dxfId="19" priority="438">
      <formula>$D209="D"</formula>
    </cfRule>
    <cfRule type="expression" dxfId="18" priority="437">
      <formula>$D209="A"</formula>
    </cfRule>
    <cfRule type="expression" dxfId="17" priority="439">
      <formula>$D209="Z"</formula>
    </cfRule>
    <cfRule type="expression" dxfId="16" priority="440">
      <formula>$C209="D"</formula>
    </cfRule>
    <cfRule type="expression" dxfId="15" priority="441">
      <formula>$C209="P"</formula>
    </cfRule>
  </conditionalFormatting>
  <conditionalFormatting sqref="AG268:AI284">
    <cfRule type="expression" dxfId="14" priority="451">
      <formula>$C247="P"</formula>
    </cfRule>
    <cfRule type="expression" dxfId="13" priority="447">
      <formula>$D247="A"</formula>
    </cfRule>
    <cfRule type="expression" dxfId="12" priority="448">
      <formula>$D247="D"</formula>
    </cfRule>
    <cfRule type="expression" dxfId="11" priority="449">
      <formula>$D247="Z"</formula>
    </cfRule>
    <cfRule type="expression" dxfId="10" priority="450">
      <formula>$C247="D"</formula>
    </cfRule>
  </conditionalFormatting>
  <conditionalFormatting sqref="AH11:AI11">
    <cfRule type="expression" dxfId="9" priority="16">
      <formula>$D1048572="A"</formula>
    </cfRule>
    <cfRule type="expression" dxfId="8" priority="18">
      <formula>$D1048572="Z"</formula>
    </cfRule>
    <cfRule type="expression" dxfId="7" priority="20">
      <formula>$C1048572="P"</formula>
    </cfRule>
    <cfRule type="expression" dxfId="6" priority="17">
      <formula>$D1048572="D"</formula>
    </cfRule>
    <cfRule type="expression" dxfId="5" priority="11">
      <formula>#REF!="D"</formula>
    </cfRule>
    <cfRule type="expression" dxfId="4" priority="12">
      <formula>#REF!="N"</formula>
    </cfRule>
    <cfRule type="expression" dxfId="3" priority="13">
      <formula>#REF!="Z"</formula>
    </cfRule>
    <cfRule type="expression" dxfId="2" priority="14">
      <formula>#REF!="D"</formula>
    </cfRule>
    <cfRule type="expression" dxfId="1" priority="15">
      <formula>#REF!="T"</formula>
    </cfRule>
    <cfRule type="expression" dxfId="0" priority="19">
      <formula>$C1048572="D"</formula>
    </cfRule>
  </conditionalFormatting>
  <pageMargins left="1" right="1" top="1" bottom="1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promptTitle="EMPRESA" xr:uid="{E41AD110-89EF-48E1-8892-BB2100416D98}">
          <x14:formula1>
            <xm:f>EMPRESAS!$A$2:$A$4</xm:f>
          </x14:formula1>
          <xm:sqref>A1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F1122-2DE8-4EBD-8D9F-FF4A6BEBE289}">
  <dimension ref="A3:F20"/>
  <sheetViews>
    <sheetView workbookViewId="0">
      <selection activeCell="F22" sqref="F22"/>
    </sheetView>
  </sheetViews>
  <sheetFormatPr defaultRowHeight="15"/>
  <cols>
    <col min="1" max="1" width="41" bestFit="1" customWidth="1"/>
    <col min="2" max="2" width="26.28515625" bestFit="1" customWidth="1"/>
    <col min="3" max="3" width="12.85546875" bestFit="1" customWidth="1"/>
    <col min="4" max="4" width="9.7109375" customWidth="1"/>
  </cols>
  <sheetData>
    <row r="3" spans="1:6">
      <c r="A3" s="100" t="s">
        <v>379</v>
      </c>
      <c r="B3" t="s">
        <v>525</v>
      </c>
      <c r="C3" t="s">
        <v>526</v>
      </c>
      <c r="E3" t="s">
        <v>525</v>
      </c>
      <c r="F3" t="s">
        <v>526</v>
      </c>
    </row>
    <row r="4" spans="1:6">
      <c r="A4" s="101" t="s">
        <v>186</v>
      </c>
      <c r="C4" s="36">
        <v>0</v>
      </c>
      <c r="E4">
        <v>0</v>
      </c>
      <c r="F4">
        <v>0</v>
      </c>
    </row>
    <row r="5" spans="1:6">
      <c r="A5" s="101" t="s">
        <v>124</v>
      </c>
      <c r="B5">
        <v>1988.7400000000002</v>
      </c>
      <c r="C5" s="36">
        <v>217.22</v>
      </c>
      <c r="E5">
        <v>1988.7400000000002</v>
      </c>
      <c r="F5">
        <v>217.22</v>
      </c>
    </row>
    <row r="6" spans="1:6">
      <c r="A6" s="101" t="s">
        <v>84</v>
      </c>
      <c r="B6">
        <v>802.56999999999994</v>
      </c>
      <c r="C6" s="36">
        <v>0</v>
      </c>
      <c r="E6">
        <v>802.56999999999994</v>
      </c>
      <c r="F6">
        <v>0</v>
      </c>
    </row>
    <row r="7" spans="1:6">
      <c r="A7" s="101" t="s">
        <v>113</v>
      </c>
      <c r="B7">
        <v>2594.84</v>
      </c>
      <c r="C7" s="36">
        <v>1752.3</v>
      </c>
      <c r="E7">
        <v>2594.84</v>
      </c>
      <c r="F7">
        <v>1752.3</v>
      </c>
    </row>
    <row r="8" spans="1:6">
      <c r="A8" s="101" t="s">
        <v>96</v>
      </c>
      <c r="B8">
        <v>1812.8899999999999</v>
      </c>
      <c r="C8" s="36">
        <v>0</v>
      </c>
      <c r="E8">
        <v>1812.8899999999999</v>
      </c>
      <c r="F8">
        <v>0</v>
      </c>
    </row>
    <row r="9" spans="1:6">
      <c r="A9" s="101" t="s">
        <v>87</v>
      </c>
      <c r="B9">
        <v>3437.6499999999996</v>
      </c>
      <c r="C9" s="36">
        <v>1453.8200000000002</v>
      </c>
      <c r="E9">
        <v>3437.6499999999996</v>
      </c>
      <c r="F9">
        <v>1453.8200000000002</v>
      </c>
    </row>
    <row r="10" spans="1:6">
      <c r="A10" s="101" t="s">
        <v>64</v>
      </c>
      <c r="B10">
        <v>1817.25</v>
      </c>
      <c r="C10" s="36">
        <v>0</v>
      </c>
      <c r="E10">
        <v>1817.25</v>
      </c>
      <c r="F10">
        <v>0</v>
      </c>
    </row>
    <row r="11" spans="1:6">
      <c r="A11" s="101" t="s">
        <v>98</v>
      </c>
      <c r="B11">
        <v>234.32</v>
      </c>
      <c r="C11" s="36">
        <v>0</v>
      </c>
      <c r="E11">
        <v>234.32</v>
      </c>
      <c r="F11">
        <v>0</v>
      </c>
    </row>
    <row r="12" spans="1:6">
      <c r="A12" s="101" t="s">
        <v>71</v>
      </c>
      <c r="B12">
        <v>1674.4</v>
      </c>
      <c r="C12" s="36">
        <v>674.97</v>
      </c>
      <c r="E12">
        <v>1674.4</v>
      </c>
      <c r="F12">
        <v>674.97</v>
      </c>
    </row>
    <row r="13" spans="1:6">
      <c r="A13" s="101" t="s">
        <v>134</v>
      </c>
      <c r="B13">
        <v>2402.2499999999995</v>
      </c>
      <c r="C13" s="36">
        <v>92.21</v>
      </c>
      <c r="E13">
        <v>2402.2499999999995</v>
      </c>
      <c r="F13">
        <v>92.21</v>
      </c>
    </row>
    <row r="14" spans="1:6">
      <c r="A14" s="101" t="s">
        <v>68</v>
      </c>
      <c r="B14">
        <v>44578.71</v>
      </c>
      <c r="C14" s="36">
        <v>21405.269999999997</v>
      </c>
      <c r="E14">
        <v>44578.71</v>
      </c>
      <c r="F14">
        <v>21405.269999999997</v>
      </c>
    </row>
    <row r="15" spans="1:6">
      <c r="A15" s="101" t="s">
        <v>204</v>
      </c>
      <c r="C15" s="36">
        <v>0</v>
      </c>
      <c r="E15">
        <v>0</v>
      </c>
      <c r="F15">
        <v>0</v>
      </c>
    </row>
    <row r="16" spans="1:6">
      <c r="A16" s="101" t="s">
        <v>78</v>
      </c>
      <c r="C16" s="36">
        <v>0</v>
      </c>
      <c r="E16">
        <v>0</v>
      </c>
      <c r="F16">
        <v>0</v>
      </c>
    </row>
    <row r="17" spans="1:6">
      <c r="A17" s="101" t="s">
        <v>152</v>
      </c>
      <c r="B17">
        <v>2515.5099999999998</v>
      </c>
      <c r="C17" s="36">
        <v>634.65</v>
      </c>
      <c r="E17">
        <v>2515.5099999999998</v>
      </c>
      <c r="F17">
        <v>634.65</v>
      </c>
    </row>
    <row r="18" spans="1:6">
      <c r="A18" s="101" t="s">
        <v>108</v>
      </c>
      <c r="B18">
        <v>2791.84</v>
      </c>
      <c r="C18" s="36">
        <v>2711.65</v>
      </c>
      <c r="E18">
        <v>2791.84</v>
      </c>
      <c r="F18">
        <v>2711.65</v>
      </c>
    </row>
    <row r="19" spans="1:6">
      <c r="A19" s="101" t="s">
        <v>92</v>
      </c>
      <c r="B19">
        <v>3126.49</v>
      </c>
      <c r="C19" s="36">
        <v>1422.52</v>
      </c>
      <c r="E19">
        <v>3126.49</v>
      </c>
      <c r="F19">
        <v>1422.52</v>
      </c>
    </row>
    <row r="20" spans="1:6">
      <c r="A20" s="101" t="s">
        <v>376</v>
      </c>
      <c r="B20">
        <v>69777.460000000006</v>
      </c>
      <c r="C20" s="36">
        <v>30364.61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52B7D-8C55-464A-9741-53D54A7C90B0}">
  <dimension ref="A1:D23"/>
  <sheetViews>
    <sheetView workbookViewId="0">
      <selection activeCell="F22" sqref="F22"/>
    </sheetView>
  </sheetViews>
  <sheetFormatPr defaultColWidth="71" defaultRowHeight="15"/>
  <cols>
    <col min="1" max="1" width="64" bestFit="1" customWidth="1"/>
    <col min="2" max="2" width="18.5703125" bestFit="1" customWidth="1"/>
    <col min="3" max="3" width="16.42578125" bestFit="1" customWidth="1"/>
    <col min="4" max="38" width="11" customWidth="1"/>
  </cols>
  <sheetData>
    <row r="1" spans="1:4" ht="16.5" thickBot="1">
      <c r="A1" s="64" t="s">
        <v>381</v>
      </c>
    </row>
    <row r="2" spans="1:4" ht="15.75" thickBot="1">
      <c r="A2" s="69" t="s">
        <v>382</v>
      </c>
      <c r="B2" s="69" t="s">
        <v>383</v>
      </c>
      <c r="C2" s="70"/>
    </row>
    <row r="3" spans="1:4" ht="15.75" thickTop="1">
      <c r="A3" s="67" t="s">
        <v>384</v>
      </c>
      <c r="B3" s="68">
        <v>936260.22</v>
      </c>
      <c r="C3" s="65"/>
    </row>
    <row r="4" spans="1:4" ht="15.75" thickBot="1">
      <c r="A4" s="66" t="s">
        <v>385</v>
      </c>
      <c r="B4" s="66" t="s">
        <v>386</v>
      </c>
      <c r="C4" s="66" t="s">
        <v>387</v>
      </c>
    </row>
    <row r="5" spans="1:4" ht="15.75" thickTop="1">
      <c r="A5" s="67" t="s">
        <v>388</v>
      </c>
      <c r="B5" s="68">
        <v>88330.81</v>
      </c>
      <c r="C5" s="68">
        <v>88330.81</v>
      </c>
      <c r="D5" s="55">
        <f>C5-B5</f>
        <v>0</v>
      </c>
    </row>
    <row r="6" spans="1:4">
      <c r="A6" s="71" t="s">
        <v>389</v>
      </c>
    </row>
    <row r="7" spans="1:4">
      <c r="A7" s="71" t="s">
        <v>390</v>
      </c>
    </row>
    <row r="8" spans="1:4">
      <c r="A8" s="71" t="s">
        <v>391</v>
      </c>
    </row>
    <row r="9" spans="1:4">
      <c r="A9" s="71" t="s">
        <v>392</v>
      </c>
    </row>
    <row r="10" spans="1:4">
      <c r="A10" s="71" t="s">
        <v>393</v>
      </c>
    </row>
    <row r="11" spans="1:4">
      <c r="A11" s="71" t="s">
        <v>394</v>
      </c>
    </row>
    <row r="12" spans="1:4">
      <c r="A12" s="71" t="s">
        <v>395</v>
      </c>
    </row>
    <row r="13" spans="1:4" ht="15.75" thickBot="1">
      <c r="A13" s="66" t="s">
        <v>396</v>
      </c>
      <c r="B13" s="66" t="s">
        <v>383</v>
      </c>
      <c r="C13" s="66" t="s">
        <v>397</v>
      </c>
    </row>
    <row r="14" spans="1:4" ht="16.5" thickTop="1" thickBot="1">
      <c r="A14" s="67" t="s">
        <v>398</v>
      </c>
      <c r="B14" s="68">
        <v>87398.5</v>
      </c>
      <c r="C14" s="72" t="s">
        <v>399</v>
      </c>
      <c r="D14" s="55">
        <f>B14+B15</f>
        <v>88330.81</v>
      </c>
    </row>
    <row r="15" spans="1:4" ht="15.75" thickBot="1">
      <c r="A15" s="73" t="s">
        <v>400</v>
      </c>
      <c r="B15" s="74">
        <v>932.31</v>
      </c>
      <c r="C15" s="74" t="s">
        <v>399</v>
      </c>
    </row>
    <row r="16" spans="1:4" ht="15.75" thickBot="1">
      <c r="A16" s="67" t="s">
        <v>401</v>
      </c>
      <c r="B16" s="68">
        <v>185296.92</v>
      </c>
      <c r="C16" s="72" t="s">
        <v>399</v>
      </c>
    </row>
    <row r="17" spans="1:4" ht="15.75" thickBot="1">
      <c r="A17" s="73" t="s">
        <v>402</v>
      </c>
      <c r="B17" s="75">
        <v>1955.11</v>
      </c>
      <c r="C17" s="74" t="s">
        <v>399</v>
      </c>
    </row>
    <row r="18" spans="1:4" ht="15.75" thickBot="1">
      <c r="A18" s="67" t="s">
        <v>403</v>
      </c>
      <c r="B18" s="68">
        <v>23162.080000000002</v>
      </c>
      <c r="C18" s="72" t="s">
        <v>399</v>
      </c>
      <c r="D18" s="55">
        <f>B18+B19+B20+B21+B22</f>
        <v>53735.950000000004</v>
      </c>
    </row>
    <row r="19" spans="1:4" ht="15.75" thickBot="1">
      <c r="A19" s="73" t="s">
        <v>404</v>
      </c>
      <c r="B19" s="75">
        <v>1852.94</v>
      </c>
      <c r="C19" s="74" t="s">
        <v>399</v>
      </c>
    </row>
    <row r="20" spans="1:4" ht="15.75" thickBot="1">
      <c r="A20" s="67" t="s">
        <v>405</v>
      </c>
      <c r="B20" s="68">
        <v>9264.81</v>
      </c>
      <c r="C20" s="72" t="s">
        <v>399</v>
      </c>
    </row>
    <row r="21" spans="1:4" ht="15.75" thickBot="1">
      <c r="A21" s="73" t="s">
        <v>406</v>
      </c>
      <c r="B21" s="75">
        <v>13897.25</v>
      </c>
      <c r="C21" s="74" t="s">
        <v>399</v>
      </c>
    </row>
    <row r="22" spans="1:4" ht="15.75" thickBot="1">
      <c r="A22" s="67" t="s">
        <v>407</v>
      </c>
      <c r="B22" s="68">
        <v>5558.87</v>
      </c>
      <c r="C22" s="72" t="s">
        <v>399</v>
      </c>
    </row>
    <row r="23" spans="1:4">
      <c r="A23" s="73" t="s">
        <v>408</v>
      </c>
      <c r="B23" s="75">
        <v>34445.74</v>
      </c>
      <c r="C23" s="74" t="s">
        <v>399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B290A-1296-4A94-B592-B11A5E955718}">
  <dimension ref="A1:G25"/>
  <sheetViews>
    <sheetView workbookViewId="0">
      <selection activeCell="K20" sqref="K20"/>
    </sheetView>
  </sheetViews>
  <sheetFormatPr defaultColWidth="78.7109375" defaultRowHeight="15"/>
  <cols>
    <col min="1" max="2" width="5.5703125" customWidth="1"/>
    <col min="3" max="3" width="47.7109375" bestFit="1" customWidth="1"/>
    <col min="4" max="4" width="8.42578125" bestFit="1" customWidth="1"/>
    <col min="5" max="5" width="13.5703125" bestFit="1" customWidth="1"/>
    <col min="6" max="6" width="1.42578125" customWidth="1"/>
    <col min="7" max="7" width="10.140625" bestFit="1" customWidth="1"/>
    <col min="8" max="50" width="10.5703125" customWidth="1"/>
  </cols>
  <sheetData>
    <row r="1" spans="1:7" ht="16.5" customHeight="1" thickTop="1" thickBot="1">
      <c r="A1" s="124" t="s">
        <v>409</v>
      </c>
      <c r="B1" s="125"/>
      <c r="C1" s="125"/>
      <c r="D1" s="126"/>
      <c r="E1" s="127" t="s">
        <v>410</v>
      </c>
      <c r="F1" s="79"/>
      <c r="G1" s="80"/>
    </row>
    <row r="2" spans="1:7" ht="16.5" customHeight="1" thickTop="1" thickBot="1">
      <c r="A2" s="82"/>
      <c r="B2" s="130" t="s">
        <v>411</v>
      </c>
      <c r="C2" s="131"/>
      <c r="D2" s="127" t="s">
        <v>412</v>
      </c>
      <c r="E2" s="128"/>
      <c r="F2" s="118" t="s">
        <v>413</v>
      </c>
      <c r="G2" s="119"/>
    </row>
    <row r="3" spans="1:7" ht="16.5" thickTop="1" thickBot="1">
      <c r="A3" s="82" t="e" vm="1">
        <v>#VALUE!</v>
      </c>
      <c r="B3" s="120"/>
      <c r="C3" s="121"/>
      <c r="D3" s="129"/>
      <c r="E3" s="129"/>
      <c r="F3" s="120"/>
      <c r="G3" s="121"/>
    </row>
    <row r="4" spans="1:7" ht="16.5" customHeight="1" thickTop="1" thickBot="1">
      <c r="A4" s="83" t="e" vm="1">
        <v>#VALUE!</v>
      </c>
      <c r="B4" s="122" t="s">
        <v>414</v>
      </c>
      <c r="C4" s="123"/>
      <c r="D4" s="84"/>
      <c r="E4" s="85">
        <v>394228.49</v>
      </c>
      <c r="F4" s="76"/>
      <c r="G4" s="77">
        <v>394228.49</v>
      </c>
    </row>
    <row r="5" spans="1:7" ht="17.25" thickTop="1" thickBot="1">
      <c r="A5" s="83"/>
      <c r="B5" s="86" t="e" vm="1">
        <v>#VALUE!</v>
      </c>
      <c r="C5" s="87" t="s">
        <v>415</v>
      </c>
      <c r="D5" s="88"/>
      <c r="E5" s="89">
        <v>88330.81</v>
      </c>
      <c r="F5" s="76"/>
      <c r="G5" s="77">
        <v>88330.81</v>
      </c>
    </row>
    <row r="6" spans="1:7" ht="17.25" thickTop="1" thickBot="1">
      <c r="A6" s="90"/>
      <c r="B6" s="86"/>
      <c r="C6" s="87" t="s">
        <v>416</v>
      </c>
      <c r="D6" s="91">
        <v>46266</v>
      </c>
      <c r="E6" s="92">
        <v>87398.5</v>
      </c>
      <c r="F6" s="76"/>
      <c r="G6" s="77">
        <v>87398.5</v>
      </c>
    </row>
    <row r="7" spans="1:7" ht="17.25" thickTop="1" thickBot="1">
      <c r="A7" s="90"/>
      <c r="B7" s="86"/>
      <c r="C7" s="87" t="s">
        <v>417</v>
      </c>
      <c r="D7" s="93">
        <v>46266</v>
      </c>
      <c r="E7" s="94">
        <v>932.31</v>
      </c>
      <c r="F7" s="76"/>
      <c r="G7" s="78">
        <v>932.31</v>
      </c>
    </row>
    <row r="8" spans="1:7" ht="17.25" thickTop="1" thickBot="1">
      <c r="A8" s="83"/>
      <c r="B8" s="86" t="e" vm="1">
        <v>#VALUE!</v>
      </c>
      <c r="C8" s="87" t="s">
        <v>418</v>
      </c>
      <c r="D8" s="88"/>
      <c r="E8" s="89">
        <v>139727.82</v>
      </c>
      <c r="F8" s="76"/>
      <c r="G8" s="77">
        <v>139727.82</v>
      </c>
    </row>
    <row r="9" spans="1:7" ht="17.25" thickTop="1" thickBot="1">
      <c r="A9" s="90"/>
      <c r="B9" s="86"/>
      <c r="C9" s="87" t="s">
        <v>419</v>
      </c>
      <c r="D9" s="91">
        <v>46266</v>
      </c>
      <c r="E9" s="92">
        <v>116176.15</v>
      </c>
      <c r="F9" s="76"/>
      <c r="G9" s="77">
        <v>116176.15</v>
      </c>
    </row>
    <row r="10" spans="1:7" ht="17.25" thickTop="1" thickBot="1">
      <c r="A10" s="90"/>
      <c r="B10" s="86"/>
      <c r="C10" s="87" t="s">
        <v>420</v>
      </c>
      <c r="D10" s="93">
        <v>46266</v>
      </c>
      <c r="E10" s="95">
        <v>1955.11</v>
      </c>
      <c r="F10" s="76"/>
      <c r="G10" s="77">
        <v>1955.11</v>
      </c>
    </row>
    <row r="11" spans="1:7" ht="17.25" thickTop="1" thickBot="1">
      <c r="A11" s="90"/>
      <c r="B11" s="86"/>
      <c r="C11" s="87" t="s">
        <v>421</v>
      </c>
      <c r="D11" s="91">
        <v>46266</v>
      </c>
      <c r="E11" s="92">
        <v>21596.560000000001</v>
      </c>
      <c r="F11" s="76"/>
      <c r="G11" s="77">
        <v>21596.560000000001</v>
      </c>
    </row>
    <row r="12" spans="1:7" ht="17.25" thickTop="1" thickBot="1">
      <c r="A12" s="83"/>
      <c r="B12" s="86" t="e" vm="1">
        <v>#VALUE!</v>
      </c>
      <c r="C12" s="87" t="s">
        <v>422</v>
      </c>
      <c r="D12" s="88"/>
      <c r="E12" s="89">
        <v>33691.06</v>
      </c>
      <c r="F12" s="76"/>
      <c r="G12" s="77">
        <v>33691.06</v>
      </c>
    </row>
    <row r="13" spans="1:7" ht="17.25" thickTop="1" thickBot="1">
      <c r="A13" s="90"/>
      <c r="B13" s="86"/>
      <c r="C13" s="87" t="s">
        <v>423</v>
      </c>
      <c r="D13" s="91">
        <v>46266</v>
      </c>
      <c r="E13" s="92">
        <v>14522.01</v>
      </c>
      <c r="F13" s="76"/>
      <c r="G13" s="77">
        <v>14522.01</v>
      </c>
    </row>
    <row r="14" spans="1:7" ht="17.25" thickTop="1" thickBot="1">
      <c r="A14" s="90"/>
      <c r="B14" s="86"/>
      <c r="C14" s="87" t="s">
        <v>424</v>
      </c>
      <c r="D14" s="93">
        <v>46266</v>
      </c>
      <c r="E14" s="95">
        <v>1161.76</v>
      </c>
      <c r="F14" s="76"/>
      <c r="G14" s="77">
        <v>1161.76</v>
      </c>
    </row>
    <row r="15" spans="1:7" ht="17.25" thickTop="1" thickBot="1">
      <c r="A15" s="90"/>
      <c r="B15" s="86"/>
      <c r="C15" s="87" t="s">
        <v>425</v>
      </c>
      <c r="D15" s="91">
        <v>46266</v>
      </c>
      <c r="E15" s="92">
        <v>5808.8</v>
      </c>
      <c r="F15" s="76"/>
      <c r="G15" s="77">
        <v>5808.8</v>
      </c>
    </row>
    <row r="16" spans="1:7" ht="17.25" thickTop="1" thickBot="1">
      <c r="A16" s="90"/>
      <c r="B16" s="86"/>
      <c r="C16" s="87" t="s">
        <v>426</v>
      </c>
      <c r="D16" s="93">
        <v>46266</v>
      </c>
      <c r="E16" s="95">
        <v>8713.2099999999991</v>
      </c>
      <c r="F16" s="76"/>
      <c r="G16" s="77">
        <v>8713.2099999999991</v>
      </c>
    </row>
    <row r="17" spans="1:7" ht="17.25" thickTop="1" thickBot="1">
      <c r="A17" s="90"/>
      <c r="B17" s="86"/>
      <c r="C17" s="87" t="s">
        <v>427</v>
      </c>
      <c r="D17" s="91">
        <v>46266</v>
      </c>
      <c r="E17" s="92">
        <v>3485.28</v>
      </c>
      <c r="F17" s="76"/>
      <c r="G17" s="77">
        <v>3485.28</v>
      </c>
    </row>
    <row r="18" spans="1:7" ht="17.25" thickTop="1" thickBot="1">
      <c r="A18" s="83"/>
      <c r="B18" s="86" t="e" vm="1">
        <v>#VALUE!</v>
      </c>
      <c r="C18" s="87" t="s">
        <v>428</v>
      </c>
      <c r="D18" s="88"/>
      <c r="E18" s="89">
        <v>30463.96</v>
      </c>
      <c r="F18" s="76"/>
      <c r="G18" s="77">
        <v>30463.96</v>
      </c>
    </row>
    <row r="19" spans="1:7" ht="17.25" thickTop="1" thickBot="1">
      <c r="A19" s="90"/>
      <c r="B19" s="86"/>
      <c r="C19" s="87" t="s">
        <v>429</v>
      </c>
      <c r="D19" s="91">
        <v>46266</v>
      </c>
      <c r="E19" s="92">
        <v>30463.96</v>
      </c>
      <c r="F19" s="76"/>
      <c r="G19" s="77">
        <v>30463.96</v>
      </c>
    </row>
    <row r="20" spans="1:7" ht="17.25" thickTop="1" thickBot="1">
      <c r="A20" s="83"/>
      <c r="B20" s="86" t="e" vm="1">
        <v>#VALUE!</v>
      </c>
      <c r="C20" s="87" t="s">
        <v>430</v>
      </c>
      <c r="D20" s="96"/>
      <c r="E20" s="97">
        <v>16759.21</v>
      </c>
      <c r="F20" s="76"/>
      <c r="G20" s="77">
        <v>16759.21</v>
      </c>
    </row>
    <row r="21" spans="1:7" ht="17.25" thickTop="1" thickBot="1">
      <c r="A21" s="83"/>
      <c r="B21" s="86" t="e" vm="1">
        <v>#VALUE!</v>
      </c>
      <c r="C21" s="87" t="s">
        <v>431</v>
      </c>
      <c r="D21" s="96"/>
      <c r="E21" s="97">
        <v>26385.26</v>
      </c>
      <c r="F21" s="76"/>
      <c r="G21" s="77">
        <v>26385.26</v>
      </c>
    </row>
    <row r="22" spans="1:7" ht="17.25" thickTop="1" thickBot="1">
      <c r="A22" s="83"/>
      <c r="B22" s="86" t="e" vm="1">
        <v>#VALUE!</v>
      </c>
      <c r="C22" s="87" t="s">
        <v>432</v>
      </c>
      <c r="D22" s="96"/>
      <c r="E22" s="97">
        <v>6599.49</v>
      </c>
      <c r="F22" s="76"/>
      <c r="G22" s="77">
        <v>6599.49</v>
      </c>
    </row>
    <row r="23" spans="1:7" ht="17.25" thickTop="1" thickBot="1">
      <c r="A23" s="83"/>
      <c r="B23" s="86" t="e" vm="1">
        <v>#VALUE!</v>
      </c>
      <c r="C23" s="87" t="s">
        <v>433</v>
      </c>
      <c r="D23" s="96"/>
      <c r="E23" s="97">
        <v>39981.230000000003</v>
      </c>
      <c r="F23" s="76"/>
      <c r="G23" s="77">
        <v>39981.230000000003</v>
      </c>
    </row>
    <row r="24" spans="1:7" ht="17.25" thickTop="1" thickBot="1">
      <c r="A24" s="83"/>
      <c r="B24" s="86" t="e" vm="1">
        <v>#VALUE!</v>
      </c>
      <c r="C24" s="87" t="s">
        <v>434</v>
      </c>
      <c r="D24" s="96"/>
      <c r="E24" s="97">
        <v>12289.65</v>
      </c>
      <c r="F24" s="76"/>
      <c r="G24" s="77">
        <v>12289.65</v>
      </c>
    </row>
    <row r="25" spans="1:7" ht="15.75" thickTop="1"/>
  </sheetData>
  <mergeCells count="6">
    <mergeCell ref="F2:G3"/>
    <mergeCell ref="B4:C4"/>
    <mergeCell ref="A1:D1"/>
    <mergeCell ref="E1:E3"/>
    <mergeCell ref="B2:C3"/>
    <mergeCell ref="D2:D3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C96EC-9D07-4697-A7A2-00A1F573F9A7}">
  <sheetPr>
    <outlinePr summaryBelow="0"/>
  </sheetPr>
  <dimension ref="A1:N15"/>
  <sheetViews>
    <sheetView workbookViewId="0">
      <selection activeCell="N9" sqref="N9"/>
    </sheetView>
  </sheetViews>
  <sheetFormatPr defaultRowHeight="15"/>
  <cols>
    <col min="1" max="1" width="30" bestFit="1" customWidth="1"/>
    <col min="2" max="2" width="7.85546875" bestFit="1" customWidth="1"/>
    <col min="3" max="3" width="7.5703125" bestFit="1" customWidth="1"/>
    <col min="4" max="4" width="12.7109375" bestFit="1" customWidth="1"/>
    <col min="5" max="5" width="15.85546875" bestFit="1" customWidth="1"/>
    <col min="6" max="6" width="15.28515625" bestFit="1" customWidth="1"/>
    <col min="7" max="7" width="12.7109375" bestFit="1" customWidth="1"/>
    <col min="8" max="8" width="23.28515625" bestFit="1" customWidth="1"/>
    <col min="9" max="9" width="15.28515625" bestFit="1" customWidth="1"/>
    <col min="10" max="10" width="10.42578125" bestFit="1" customWidth="1"/>
    <col min="11" max="11" width="11.5703125" bestFit="1" customWidth="1"/>
  </cols>
  <sheetData>
    <row r="1" spans="1:14" ht="15" customHeight="1">
      <c r="A1" s="53" t="s">
        <v>0</v>
      </c>
      <c r="B1" s="53" t="s">
        <v>362</v>
      </c>
      <c r="C1" s="53" t="s">
        <v>3</v>
      </c>
      <c r="D1" s="48" t="s">
        <v>361</v>
      </c>
      <c r="E1" s="48" t="s">
        <v>360</v>
      </c>
      <c r="F1" s="53" t="s">
        <v>359</v>
      </c>
      <c r="G1" s="53" t="s">
        <v>358</v>
      </c>
      <c r="H1" s="53" t="s">
        <v>357</v>
      </c>
      <c r="I1" s="53" t="s">
        <v>356</v>
      </c>
      <c r="J1" s="53" t="s">
        <v>355</v>
      </c>
      <c r="K1" s="54" t="s">
        <v>354</v>
      </c>
    </row>
    <row r="2" spans="1:14" ht="15" customHeight="1">
      <c r="A2" s="53" t="s">
        <v>81</v>
      </c>
      <c r="B2" s="53" t="s">
        <v>353</v>
      </c>
      <c r="C2" s="53" t="s">
        <v>66</v>
      </c>
      <c r="D2" s="52">
        <v>46.08</v>
      </c>
      <c r="E2" s="52">
        <v>268.36</v>
      </c>
      <c r="F2" s="51"/>
      <c r="G2" s="51">
        <v>861.15</v>
      </c>
      <c r="H2" s="51"/>
      <c r="I2" s="51">
        <v>144.08000000000001</v>
      </c>
      <c r="J2" s="47">
        <v>1319.67</v>
      </c>
      <c r="K2" s="49">
        <f t="shared" ref="K2:K14" si="0">D2+F2+H2+I2</f>
        <v>190.16000000000003</v>
      </c>
    </row>
    <row r="3" spans="1:14" ht="15" customHeight="1">
      <c r="A3" s="53" t="s">
        <v>91</v>
      </c>
      <c r="B3" s="53" t="s">
        <v>352</v>
      </c>
      <c r="C3" s="53" t="s">
        <v>66</v>
      </c>
      <c r="D3" s="52">
        <v>466.74</v>
      </c>
      <c r="E3" s="52"/>
      <c r="F3" s="51">
        <v>412.9</v>
      </c>
      <c r="G3" s="51">
        <v>5454.03</v>
      </c>
      <c r="H3" s="51">
        <v>29.39</v>
      </c>
      <c r="I3" s="51">
        <v>146.94999999999999</v>
      </c>
      <c r="J3" s="47">
        <v>6510.01</v>
      </c>
      <c r="K3" s="49">
        <f t="shared" si="0"/>
        <v>1055.98</v>
      </c>
    </row>
    <row r="4" spans="1:14" ht="15" customHeight="1">
      <c r="A4" s="53" t="s">
        <v>104</v>
      </c>
      <c r="B4" s="53" t="s">
        <v>351</v>
      </c>
      <c r="C4" s="53" t="s">
        <v>66</v>
      </c>
      <c r="D4" s="52">
        <v>191.69</v>
      </c>
      <c r="E4" s="52"/>
      <c r="F4" s="51">
        <v>23.46</v>
      </c>
      <c r="G4" s="51">
        <v>1648.61</v>
      </c>
      <c r="H4" s="51"/>
      <c r="I4" s="51">
        <v>177.14</v>
      </c>
      <c r="J4" s="50">
        <v>2040.9</v>
      </c>
      <c r="K4" s="49">
        <f t="shared" si="0"/>
        <v>392.28999999999996</v>
      </c>
    </row>
    <row r="5" spans="1:14" ht="15" customHeight="1">
      <c r="A5" s="53" t="s">
        <v>125</v>
      </c>
      <c r="B5" s="53" t="s">
        <v>350</v>
      </c>
      <c r="C5" s="53" t="s">
        <v>66</v>
      </c>
      <c r="D5" s="52">
        <v>38.96</v>
      </c>
      <c r="E5" s="52">
        <v>176.17</v>
      </c>
      <c r="F5" s="51">
        <v>37.68</v>
      </c>
      <c r="G5" s="51">
        <v>1999.14</v>
      </c>
      <c r="H5" s="51"/>
      <c r="I5" s="51">
        <v>125.62</v>
      </c>
      <c r="J5" s="50">
        <v>2377.5700000000002</v>
      </c>
      <c r="K5" s="49">
        <f t="shared" si="0"/>
        <v>202.26</v>
      </c>
    </row>
    <row r="6" spans="1:14" ht="15" customHeight="1">
      <c r="A6" s="53" t="s">
        <v>131</v>
      </c>
      <c r="B6" s="53" t="s">
        <v>349</v>
      </c>
      <c r="C6" s="53" t="s">
        <v>66</v>
      </c>
      <c r="D6" s="52">
        <v>213.32</v>
      </c>
      <c r="E6" s="52"/>
      <c r="F6" s="51">
        <v>270.14</v>
      </c>
      <c r="G6" s="51">
        <v>1092.3599999999999</v>
      </c>
      <c r="H6" s="51">
        <v>23.09</v>
      </c>
      <c r="I6" s="51">
        <v>207.81</v>
      </c>
      <c r="J6" s="50">
        <v>1806.72</v>
      </c>
      <c r="K6" s="49">
        <f t="shared" si="0"/>
        <v>714.3599999999999</v>
      </c>
    </row>
    <row r="7" spans="1:14" ht="15" customHeight="1">
      <c r="A7" s="53" t="s">
        <v>145</v>
      </c>
      <c r="B7" s="53" t="s">
        <v>348</v>
      </c>
      <c r="C7" s="53" t="s">
        <v>66</v>
      </c>
      <c r="D7" s="52">
        <v>137.35</v>
      </c>
      <c r="E7" s="52"/>
      <c r="F7" s="51"/>
      <c r="G7" s="51"/>
      <c r="H7" s="51"/>
      <c r="I7" s="51">
        <v>34.46</v>
      </c>
      <c r="J7" s="50">
        <v>171.81</v>
      </c>
      <c r="K7" s="49">
        <f t="shared" si="0"/>
        <v>171.81</v>
      </c>
    </row>
    <row r="8" spans="1:14" ht="15" customHeight="1">
      <c r="A8" s="53" t="s">
        <v>158</v>
      </c>
      <c r="B8" s="53" t="s">
        <v>347</v>
      </c>
      <c r="C8" s="53" t="s">
        <v>66</v>
      </c>
      <c r="D8" s="52">
        <v>6.68</v>
      </c>
      <c r="E8" s="52">
        <v>188.65</v>
      </c>
      <c r="F8" s="51">
        <v>202.67</v>
      </c>
      <c r="G8" s="51">
        <v>748.66</v>
      </c>
      <c r="H8" s="51">
        <v>16.829999999999998</v>
      </c>
      <c r="I8" s="51">
        <v>134.69999999999999</v>
      </c>
      <c r="J8" s="50">
        <v>1298.19</v>
      </c>
      <c r="K8" s="49">
        <f t="shared" si="0"/>
        <v>360.88</v>
      </c>
    </row>
    <row r="9" spans="1:14" ht="15" customHeight="1">
      <c r="A9" s="53" t="s">
        <v>218</v>
      </c>
      <c r="B9" s="53" t="s">
        <v>346</v>
      </c>
      <c r="C9" s="53" t="s">
        <v>66</v>
      </c>
      <c r="D9" s="52">
        <v>225.28</v>
      </c>
      <c r="E9" s="52"/>
      <c r="F9" s="51">
        <v>269.35000000000002</v>
      </c>
      <c r="G9" s="51">
        <v>1083.8800000000001</v>
      </c>
      <c r="H9" s="51">
        <v>23.11</v>
      </c>
      <c r="I9" s="51">
        <v>208.03</v>
      </c>
      <c r="J9" s="50">
        <v>1809.65</v>
      </c>
      <c r="K9" s="49">
        <f t="shared" si="0"/>
        <v>725.77</v>
      </c>
      <c r="N9" s="49"/>
    </row>
    <row r="10" spans="1:14" ht="15" customHeight="1">
      <c r="A10" s="53" t="s">
        <v>220</v>
      </c>
      <c r="B10" s="53" t="s">
        <v>345</v>
      </c>
      <c r="C10" s="53" t="s">
        <v>66</v>
      </c>
      <c r="D10" s="52">
        <v>417.76</v>
      </c>
      <c r="E10" s="52"/>
      <c r="F10" s="51">
        <v>344.1</v>
      </c>
      <c r="G10" s="51">
        <v>1639.9</v>
      </c>
      <c r="H10" s="51">
        <v>29.62</v>
      </c>
      <c r="I10" s="51">
        <v>266.57</v>
      </c>
      <c r="J10" s="50">
        <v>2697.95</v>
      </c>
      <c r="K10" s="49">
        <f t="shared" si="0"/>
        <v>1058.05</v>
      </c>
    </row>
    <row r="11" spans="1:14" ht="15" customHeight="1">
      <c r="A11" s="53" t="s">
        <v>222</v>
      </c>
      <c r="B11" s="53" t="s">
        <v>344</v>
      </c>
      <c r="C11" s="53" t="s">
        <v>66</v>
      </c>
      <c r="D11" s="52">
        <v>231.34</v>
      </c>
      <c r="E11" s="52"/>
      <c r="F11" s="51">
        <v>330.11</v>
      </c>
      <c r="G11" s="51">
        <v>2012.11</v>
      </c>
      <c r="H11" s="51">
        <v>24.33</v>
      </c>
      <c r="I11" s="51">
        <v>218.97</v>
      </c>
      <c r="J11" s="50">
        <v>2816.86</v>
      </c>
      <c r="K11" s="49">
        <f t="shared" si="0"/>
        <v>804.75000000000011</v>
      </c>
    </row>
    <row r="12" spans="1:14" ht="15" customHeight="1">
      <c r="A12" s="53" t="s">
        <v>290</v>
      </c>
      <c r="B12" s="53" t="s">
        <v>343</v>
      </c>
      <c r="C12" s="53" t="s">
        <v>66</v>
      </c>
      <c r="D12" s="52"/>
      <c r="E12" s="52">
        <v>128.72</v>
      </c>
      <c r="F12" s="51"/>
      <c r="G12" s="51">
        <v>56.51</v>
      </c>
      <c r="H12" s="51"/>
      <c r="I12" s="51">
        <v>12.56</v>
      </c>
      <c r="J12" s="50">
        <v>197.79</v>
      </c>
      <c r="K12" s="49">
        <f t="shared" si="0"/>
        <v>12.56</v>
      </c>
    </row>
    <row r="13" spans="1:14" ht="15" customHeight="1">
      <c r="A13" s="53" t="s">
        <v>301</v>
      </c>
      <c r="B13" s="53" t="s">
        <v>342</v>
      </c>
      <c r="C13" s="53" t="s">
        <v>66</v>
      </c>
      <c r="D13" s="52">
        <v>5.61</v>
      </c>
      <c r="E13" s="52">
        <v>245.99</v>
      </c>
      <c r="F13" s="51">
        <v>325.72000000000003</v>
      </c>
      <c r="G13" s="51">
        <v>546.61</v>
      </c>
      <c r="H13" s="51">
        <v>27.14</v>
      </c>
      <c r="I13" s="51">
        <v>81.430000000000007</v>
      </c>
      <c r="J13" s="50">
        <v>1232.5</v>
      </c>
      <c r="K13" s="49">
        <f t="shared" si="0"/>
        <v>439.90000000000003</v>
      </c>
    </row>
    <row r="14" spans="1:14" ht="15" customHeight="1">
      <c r="A14" s="53" t="s">
        <v>329</v>
      </c>
      <c r="B14" s="53" t="s">
        <v>341</v>
      </c>
      <c r="C14" s="53" t="s">
        <v>66</v>
      </c>
      <c r="D14" s="52">
        <v>39.83</v>
      </c>
      <c r="E14" s="52">
        <v>283.13</v>
      </c>
      <c r="F14" s="51">
        <v>236.84</v>
      </c>
      <c r="G14" s="51">
        <v>983.62</v>
      </c>
      <c r="H14" s="51">
        <v>20.38</v>
      </c>
      <c r="I14" s="51">
        <v>142.69999999999999</v>
      </c>
      <c r="J14" s="50">
        <v>1706.5</v>
      </c>
      <c r="K14" s="49">
        <f t="shared" si="0"/>
        <v>439.75</v>
      </c>
    </row>
    <row r="15" spans="1:14" ht="15" customHeight="1">
      <c r="A15" s="48"/>
      <c r="B15" s="48"/>
      <c r="C15" s="48"/>
      <c r="D15" s="47">
        <f t="shared" ref="D15:K15" si="1">SUM(D2:D14)</f>
        <v>2020.6399999999996</v>
      </c>
      <c r="E15" s="47">
        <f t="shared" si="1"/>
        <v>1291.02</v>
      </c>
      <c r="F15" s="47">
        <f t="shared" si="1"/>
        <v>2452.9700000000003</v>
      </c>
      <c r="G15" s="47">
        <f t="shared" si="1"/>
        <v>18126.579999999994</v>
      </c>
      <c r="H15" s="47">
        <f t="shared" si="1"/>
        <v>193.89</v>
      </c>
      <c r="I15" s="47">
        <f t="shared" si="1"/>
        <v>1901.02</v>
      </c>
      <c r="J15" s="47">
        <f t="shared" si="1"/>
        <v>25986.120000000003</v>
      </c>
      <c r="K15" s="46">
        <f t="shared" si="1"/>
        <v>6568.52</v>
      </c>
    </row>
  </sheetData>
  <pageMargins left="1" right="1" top="1" bottom="1" header="0.3" footer="0.3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3C64-D2F5-4C8A-9618-41900DD95B2E}">
  <sheetPr>
    <outlinePr summaryBelow="0"/>
  </sheetPr>
  <dimension ref="A1:K82"/>
  <sheetViews>
    <sheetView topLeftCell="A52" workbookViewId="0">
      <selection activeCell="K14" sqref="K14"/>
    </sheetView>
  </sheetViews>
  <sheetFormatPr defaultRowHeight="15"/>
  <cols>
    <col min="1" max="1" width="5.28515625" customWidth="1"/>
    <col min="2" max="2" width="30.42578125" customWidth="1"/>
    <col min="3" max="3" width="7.140625" customWidth="1"/>
    <col min="4" max="4" width="10.42578125" bestFit="1" customWidth="1"/>
    <col min="5" max="5" width="12.42578125" bestFit="1" customWidth="1"/>
    <col min="6" max="6" width="41.140625" bestFit="1" customWidth="1"/>
    <col min="11" max="11" width="131.7109375" bestFit="1" customWidth="1"/>
  </cols>
  <sheetData>
    <row r="1" spans="1:11" ht="15" customHeight="1">
      <c r="A1" s="62" t="s">
        <v>380</v>
      </c>
      <c r="B1" s="62" t="s">
        <v>0</v>
      </c>
      <c r="C1" s="62" t="s">
        <v>2</v>
      </c>
      <c r="D1" s="60" t="s">
        <v>39</v>
      </c>
      <c r="F1" t="s">
        <v>379</v>
      </c>
      <c r="G1" t="s">
        <v>378</v>
      </c>
    </row>
    <row r="2" spans="1:11" ht="15" customHeight="1">
      <c r="A2" s="63">
        <v>1</v>
      </c>
      <c r="B2" s="62" t="s">
        <v>69</v>
      </c>
      <c r="C2" s="62" t="s">
        <v>65</v>
      </c>
      <c r="D2" s="61">
        <v>629.12</v>
      </c>
      <c r="E2" s="49">
        <f t="shared" ref="E2:E33" si="0">D2-G2</f>
        <v>0</v>
      </c>
      <c r="F2" t="s">
        <v>69</v>
      </c>
      <c r="G2">
        <v>629.12</v>
      </c>
      <c r="I2">
        <f>G2-J2</f>
        <v>0</v>
      </c>
      <c r="J2">
        <v>629.12</v>
      </c>
      <c r="K2" t="s">
        <v>447</v>
      </c>
    </row>
    <row r="3" spans="1:11" ht="15" customHeight="1">
      <c r="A3" s="63">
        <v>1</v>
      </c>
      <c r="B3" s="62" t="s">
        <v>70</v>
      </c>
      <c r="C3" s="62" t="s">
        <v>65</v>
      </c>
      <c r="D3" s="61">
        <v>483</v>
      </c>
      <c r="E3" s="49">
        <f t="shared" si="0"/>
        <v>0</v>
      </c>
      <c r="F3" t="s">
        <v>70</v>
      </c>
      <c r="G3">
        <v>483</v>
      </c>
      <c r="I3">
        <f t="shared" ref="I3:I66" si="1">G3-J3</f>
        <v>0</v>
      </c>
      <c r="J3">
        <v>483</v>
      </c>
      <c r="K3" t="s">
        <v>448</v>
      </c>
    </row>
    <row r="4" spans="1:11" ht="15" customHeight="1">
      <c r="A4" s="63">
        <v>1</v>
      </c>
      <c r="B4" s="62" t="s">
        <v>76</v>
      </c>
      <c r="C4" s="62" t="s">
        <v>65</v>
      </c>
      <c r="D4" s="61">
        <v>120.57</v>
      </c>
      <c r="E4" s="49">
        <f t="shared" si="0"/>
        <v>0</v>
      </c>
      <c r="F4" t="s">
        <v>76</v>
      </c>
      <c r="G4">
        <v>120.57000000000001</v>
      </c>
      <c r="I4">
        <f t="shared" si="1"/>
        <v>0</v>
      </c>
      <c r="J4">
        <v>120.57</v>
      </c>
      <c r="K4" t="s">
        <v>449</v>
      </c>
    </row>
    <row r="5" spans="1:11" ht="15" customHeight="1">
      <c r="A5" s="63">
        <v>1</v>
      </c>
      <c r="B5" s="62" t="s">
        <v>79</v>
      </c>
      <c r="C5" s="62" t="s">
        <v>65</v>
      </c>
      <c r="D5" s="61">
        <v>1397.69</v>
      </c>
      <c r="E5" s="49">
        <f t="shared" si="0"/>
        <v>0</v>
      </c>
      <c r="F5" t="s">
        <v>79</v>
      </c>
      <c r="G5">
        <v>1397.69</v>
      </c>
      <c r="I5">
        <f t="shared" si="1"/>
        <v>0</v>
      </c>
      <c r="J5" s="55">
        <v>1397.69</v>
      </c>
      <c r="K5" t="s">
        <v>450</v>
      </c>
    </row>
    <row r="6" spans="1:11" ht="15" customHeight="1">
      <c r="A6" s="63">
        <v>1</v>
      </c>
      <c r="B6" s="62" t="s">
        <v>80</v>
      </c>
      <c r="C6" s="62" t="s">
        <v>65</v>
      </c>
      <c r="D6" s="61">
        <v>707.74</v>
      </c>
      <c r="E6" s="49">
        <f t="shared" si="0"/>
        <v>0</v>
      </c>
      <c r="F6" t="s">
        <v>80</v>
      </c>
      <c r="G6">
        <v>707.74</v>
      </c>
      <c r="I6">
        <f t="shared" si="1"/>
        <v>0</v>
      </c>
      <c r="J6">
        <v>707.74</v>
      </c>
      <c r="K6" t="s">
        <v>451</v>
      </c>
    </row>
    <row r="7" spans="1:11" ht="15" customHeight="1">
      <c r="A7" s="63">
        <v>1</v>
      </c>
      <c r="B7" s="62" t="s">
        <v>86</v>
      </c>
      <c r="C7" s="62" t="s">
        <v>65</v>
      </c>
      <c r="D7" s="61">
        <v>536.57000000000005</v>
      </c>
      <c r="E7" s="49">
        <f t="shared" si="0"/>
        <v>0</v>
      </c>
      <c r="F7" t="s">
        <v>367</v>
      </c>
      <c r="G7">
        <v>536.57000000000005</v>
      </c>
      <c r="I7">
        <f t="shared" si="1"/>
        <v>0</v>
      </c>
      <c r="J7">
        <v>536.57000000000005</v>
      </c>
      <c r="K7" t="s">
        <v>452</v>
      </c>
    </row>
    <row r="8" spans="1:11" ht="15" customHeight="1">
      <c r="A8" s="63">
        <v>1</v>
      </c>
      <c r="B8" s="62" t="s">
        <v>89</v>
      </c>
      <c r="C8" s="62" t="s">
        <v>65</v>
      </c>
      <c r="D8" s="61">
        <v>498.81</v>
      </c>
      <c r="E8" s="49">
        <f t="shared" si="0"/>
        <v>0</v>
      </c>
      <c r="F8" t="s">
        <v>89</v>
      </c>
      <c r="G8">
        <v>498.81</v>
      </c>
      <c r="I8">
        <f t="shared" si="1"/>
        <v>0</v>
      </c>
      <c r="J8">
        <v>498.81</v>
      </c>
      <c r="K8" t="s">
        <v>453</v>
      </c>
    </row>
    <row r="9" spans="1:11" ht="15" customHeight="1">
      <c r="A9" s="63">
        <v>1</v>
      </c>
      <c r="B9" s="62" t="s">
        <v>90</v>
      </c>
      <c r="C9" s="62" t="s">
        <v>65</v>
      </c>
      <c r="D9" s="61">
        <v>533.41</v>
      </c>
      <c r="E9" s="49">
        <f t="shared" si="0"/>
        <v>0</v>
      </c>
      <c r="F9" t="s">
        <v>90</v>
      </c>
      <c r="G9">
        <v>533.41</v>
      </c>
      <c r="I9">
        <f t="shared" si="1"/>
        <v>0</v>
      </c>
      <c r="J9">
        <v>533.41</v>
      </c>
      <c r="K9" t="s">
        <v>454</v>
      </c>
    </row>
    <row r="10" spans="1:11" ht="15" customHeight="1">
      <c r="A10" s="63">
        <v>1</v>
      </c>
      <c r="B10" s="62" t="s">
        <v>93</v>
      </c>
      <c r="C10" s="62" t="s">
        <v>65</v>
      </c>
      <c r="D10" s="61">
        <v>623.63</v>
      </c>
      <c r="E10" s="49">
        <f t="shared" si="0"/>
        <v>0</v>
      </c>
      <c r="F10" t="s">
        <v>93</v>
      </c>
      <c r="G10">
        <v>623.63</v>
      </c>
      <c r="I10">
        <f t="shared" si="1"/>
        <v>0</v>
      </c>
      <c r="J10">
        <v>623.63</v>
      </c>
      <c r="K10" t="s">
        <v>455</v>
      </c>
    </row>
    <row r="11" spans="1:11" ht="15" customHeight="1">
      <c r="A11" s="63">
        <v>1</v>
      </c>
      <c r="B11" s="62" t="s">
        <v>102</v>
      </c>
      <c r="C11" s="62" t="s">
        <v>82</v>
      </c>
      <c r="D11" s="61">
        <v>53.09</v>
      </c>
      <c r="E11" s="49">
        <f t="shared" si="0"/>
        <v>0</v>
      </c>
      <c r="F11" t="s">
        <v>102</v>
      </c>
      <c r="G11">
        <v>53.09</v>
      </c>
      <c r="I11">
        <f t="shared" si="1"/>
        <v>0</v>
      </c>
      <c r="J11">
        <v>53.09</v>
      </c>
      <c r="K11" t="s">
        <v>456</v>
      </c>
    </row>
    <row r="12" spans="1:11" ht="15" customHeight="1">
      <c r="A12" s="63">
        <v>1</v>
      </c>
      <c r="B12" s="62" t="s">
        <v>111</v>
      </c>
      <c r="C12" s="62" t="s">
        <v>65</v>
      </c>
      <c r="D12" s="61">
        <v>1024.8699999999999</v>
      </c>
      <c r="E12" s="49">
        <f t="shared" si="0"/>
        <v>0</v>
      </c>
      <c r="F12" t="s">
        <v>111</v>
      </c>
      <c r="G12">
        <v>1024.8699999999999</v>
      </c>
      <c r="I12">
        <f t="shared" si="1"/>
        <v>0</v>
      </c>
      <c r="J12" s="55">
        <v>1024.8699999999999</v>
      </c>
      <c r="K12" t="s">
        <v>457</v>
      </c>
    </row>
    <row r="13" spans="1:11" ht="15" customHeight="1">
      <c r="A13" s="63">
        <v>1</v>
      </c>
      <c r="B13" s="62" t="s">
        <v>112</v>
      </c>
      <c r="C13" s="62" t="s">
        <v>65</v>
      </c>
      <c r="D13" s="61">
        <v>574.63</v>
      </c>
      <c r="E13" s="49">
        <f t="shared" si="0"/>
        <v>0</v>
      </c>
      <c r="F13" t="s">
        <v>112</v>
      </c>
      <c r="G13">
        <v>574.63</v>
      </c>
      <c r="I13">
        <f t="shared" si="1"/>
        <v>0</v>
      </c>
      <c r="J13">
        <v>574.63</v>
      </c>
      <c r="K13" t="s">
        <v>458</v>
      </c>
    </row>
    <row r="14" spans="1:11" ht="15" customHeight="1">
      <c r="A14" s="63">
        <v>1</v>
      </c>
      <c r="B14" s="62" t="s">
        <v>114</v>
      </c>
      <c r="C14" s="62" t="s">
        <v>82</v>
      </c>
      <c r="D14" s="61">
        <v>1539.3</v>
      </c>
      <c r="E14" s="49">
        <f t="shared" si="0"/>
        <v>0</v>
      </c>
      <c r="F14" t="s">
        <v>114</v>
      </c>
      <c r="G14">
        <v>1539.3000000000002</v>
      </c>
      <c r="I14">
        <f t="shared" si="1"/>
        <v>0</v>
      </c>
      <c r="J14" s="55">
        <v>1539.3</v>
      </c>
      <c r="K14" t="s">
        <v>459</v>
      </c>
    </row>
    <row r="15" spans="1:11" ht="15" customHeight="1">
      <c r="A15" s="63">
        <v>1</v>
      </c>
      <c r="B15" s="62" t="s">
        <v>115</v>
      </c>
      <c r="C15" s="62" t="s">
        <v>65</v>
      </c>
      <c r="D15" s="61">
        <v>987.12</v>
      </c>
      <c r="E15" s="49">
        <f t="shared" si="0"/>
        <v>0</v>
      </c>
      <c r="F15" t="s">
        <v>115</v>
      </c>
      <c r="G15">
        <v>987.11999999999989</v>
      </c>
      <c r="I15">
        <f t="shared" si="1"/>
        <v>0</v>
      </c>
      <c r="J15">
        <v>987.12</v>
      </c>
      <c r="K15" t="s">
        <v>460</v>
      </c>
    </row>
    <row r="16" spans="1:11" ht="15" customHeight="1">
      <c r="A16" s="63">
        <v>1</v>
      </c>
      <c r="B16" s="62" t="s">
        <v>117</v>
      </c>
      <c r="C16" s="62" t="s">
        <v>65</v>
      </c>
      <c r="D16" s="61">
        <v>643.87</v>
      </c>
      <c r="E16" s="49">
        <f t="shared" si="0"/>
        <v>0</v>
      </c>
      <c r="F16" t="s">
        <v>117</v>
      </c>
      <c r="G16">
        <v>643.87</v>
      </c>
      <c r="I16">
        <f t="shared" si="1"/>
        <v>0</v>
      </c>
      <c r="J16">
        <v>643.87</v>
      </c>
      <c r="K16" t="s">
        <v>461</v>
      </c>
    </row>
    <row r="17" spans="1:11" ht="15" customHeight="1">
      <c r="A17" s="63">
        <v>1</v>
      </c>
      <c r="B17" s="62" t="s">
        <v>127</v>
      </c>
      <c r="C17" s="62" t="s">
        <v>65</v>
      </c>
      <c r="D17" s="61">
        <v>1006.41</v>
      </c>
      <c r="E17" s="49">
        <f t="shared" si="0"/>
        <v>0</v>
      </c>
      <c r="F17" t="s">
        <v>127</v>
      </c>
      <c r="G17">
        <v>1006.4100000000001</v>
      </c>
      <c r="I17">
        <f t="shared" si="1"/>
        <v>0</v>
      </c>
      <c r="J17" s="55">
        <v>1006.41</v>
      </c>
      <c r="K17" t="s">
        <v>462</v>
      </c>
    </row>
    <row r="18" spans="1:11" ht="15" customHeight="1">
      <c r="A18" s="63">
        <v>1</v>
      </c>
      <c r="B18" s="62" t="s">
        <v>128</v>
      </c>
      <c r="C18" s="62" t="s">
        <v>65</v>
      </c>
      <c r="D18" s="61">
        <v>387.11</v>
      </c>
      <c r="E18" s="49">
        <f t="shared" si="0"/>
        <v>0</v>
      </c>
      <c r="F18" t="s">
        <v>128</v>
      </c>
      <c r="G18">
        <v>387.11</v>
      </c>
      <c r="I18">
        <f t="shared" si="1"/>
        <v>0</v>
      </c>
      <c r="J18">
        <v>387.11</v>
      </c>
      <c r="K18" t="s">
        <v>463</v>
      </c>
    </row>
    <row r="19" spans="1:11" ht="15" customHeight="1">
      <c r="A19" s="63">
        <v>1</v>
      </c>
      <c r="B19" s="62" t="s">
        <v>131</v>
      </c>
      <c r="C19" s="62" t="s">
        <v>82</v>
      </c>
      <c r="D19" s="61">
        <v>1438.76</v>
      </c>
      <c r="E19" s="49">
        <f t="shared" si="0"/>
        <v>1438.76</v>
      </c>
      <c r="I19">
        <f t="shared" si="1"/>
        <v>-1438.76</v>
      </c>
      <c r="J19" s="55">
        <v>1438.76</v>
      </c>
      <c r="K19" t="s">
        <v>464</v>
      </c>
    </row>
    <row r="20" spans="1:11" ht="15" customHeight="1">
      <c r="A20" s="63">
        <v>1</v>
      </c>
      <c r="B20" s="62" t="s">
        <v>132</v>
      </c>
      <c r="C20" s="62" t="s">
        <v>65</v>
      </c>
      <c r="D20" s="61">
        <v>146.05000000000001</v>
      </c>
      <c r="E20" s="49">
        <f t="shared" si="0"/>
        <v>0</v>
      </c>
      <c r="F20" t="s">
        <v>132</v>
      </c>
      <c r="G20">
        <v>146.05000000000001</v>
      </c>
      <c r="I20">
        <f t="shared" si="1"/>
        <v>0</v>
      </c>
      <c r="J20">
        <v>146.05000000000001</v>
      </c>
      <c r="K20" t="s">
        <v>465</v>
      </c>
    </row>
    <row r="21" spans="1:11" ht="15" customHeight="1">
      <c r="A21" s="63">
        <v>1</v>
      </c>
      <c r="B21" s="62" t="s">
        <v>142</v>
      </c>
      <c r="C21" s="62" t="s">
        <v>65</v>
      </c>
      <c r="D21" s="61">
        <v>410.26</v>
      </c>
      <c r="E21" s="49">
        <f t="shared" si="0"/>
        <v>0</v>
      </c>
      <c r="F21" t="s">
        <v>142</v>
      </c>
      <c r="G21">
        <v>410.26</v>
      </c>
      <c r="I21">
        <f t="shared" si="1"/>
        <v>0</v>
      </c>
      <c r="J21">
        <v>410.26</v>
      </c>
      <c r="K21" t="s">
        <v>466</v>
      </c>
    </row>
    <row r="22" spans="1:11" ht="15" customHeight="1">
      <c r="A22" s="63">
        <v>1</v>
      </c>
      <c r="B22" s="62" t="s">
        <v>144</v>
      </c>
      <c r="C22" s="62" t="s">
        <v>65</v>
      </c>
      <c r="D22" s="61">
        <v>691.34</v>
      </c>
      <c r="E22" s="49">
        <f t="shared" si="0"/>
        <v>0</v>
      </c>
      <c r="F22" t="s">
        <v>144</v>
      </c>
      <c r="G22">
        <v>691.34</v>
      </c>
      <c r="I22">
        <f t="shared" si="1"/>
        <v>0</v>
      </c>
      <c r="J22">
        <v>691.34</v>
      </c>
      <c r="K22" t="s">
        <v>467</v>
      </c>
    </row>
    <row r="23" spans="1:11" ht="15" customHeight="1">
      <c r="A23" s="63">
        <v>1</v>
      </c>
      <c r="B23" s="62" t="s">
        <v>150</v>
      </c>
      <c r="C23" s="62" t="s">
        <v>65</v>
      </c>
      <c r="D23" s="61">
        <v>428.35</v>
      </c>
      <c r="E23" s="49">
        <f t="shared" si="0"/>
        <v>0</v>
      </c>
      <c r="F23" t="s">
        <v>150</v>
      </c>
      <c r="G23">
        <v>428.35</v>
      </c>
      <c r="I23">
        <f t="shared" si="1"/>
        <v>0</v>
      </c>
      <c r="J23">
        <v>428.35</v>
      </c>
      <c r="K23" t="s">
        <v>468</v>
      </c>
    </row>
    <row r="24" spans="1:11" ht="15" customHeight="1">
      <c r="A24" s="63">
        <v>1</v>
      </c>
      <c r="B24" s="62" t="s">
        <v>154</v>
      </c>
      <c r="C24" s="62" t="s">
        <v>65</v>
      </c>
      <c r="D24" s="61">
        <v>537.99</v>
      </c>
      <c r="E24" s="49">
        <f t="shared" si="0"/>
        <v>0</v>
      </c>
      <c r="F24" t="s">
        <v>154</v>
      </c>
      <c r="G24">
        <v>537.99</v>
      </c>
      <c r="I24">
        <f t="shared" si="1"/>
        <v>0</v>
      </c>
      <c r="J24">
        <v>537.99</v>
      </c>
      <c r="K24" s="35" t="s">
        <v>524</v>
      </c>
    </row>
    <row r="25" spans="1:11" ht="15" customHeight="1">
      <c r="A25" s="63">
        <v>1</v>
      </c>
      <c r="B25" s="62" t="s">
        <v>157</v>
      </c>
      <c r="C25" s="62" t="s">
        <v>99</v>
      </c>
      <c r="D25" s="61">
        <v>690.32</v>
      </c>
      <c r="E25" s="49">
        <f t="shared" si="0"/>
        <v>0</v>
      </c>
      <c r="F25" t="s">
        <v>157</v>
      </c>
      <c r="G25">
        <v>690.31999999999994</v>
      </c>
      <c r="I25">
        <f t="shared" si="1"/>
        <v>0</v>
      </c>
      <c r="J25">
        <v>690.32</v>
      </c>
      <c r="K25" t="s">
        <v>469</v>
      </c>
    </row>
    <row r="26" spans="1:11" ht="15" customHeight="1">
      <c r="A26" s="63">
        <v>1</v>
      </c>
      <c r="B26" s="62" t="s">
        <v>158</v>
      </c>
      <c r="C26" s="62" t="s">
        <v>82</v>
      </c>
      <c r="D26" s="61">
        <v>2610.4899999999998</v>
      </c>
      <c r="E26" s="49">
        <f t="shared" si="0"/>
        <v>2610.4899999999998</v>
      </c>
      <c r="I26">
        <f t="shared" si="1"/>
        <v>-2610.4899999999998</v>
      </c>
      <c r="J26" s="55">
        <v>2610.4899999999998</v>
      </c>
      <c r="K26" t="s">
        <v>470</v>
      </c>
    </row>
    <row r="27" spans="1:11" ht="15" customHeight="1">
      <c r="A27" s="63">
        <v>1</v>
      </c>
      <c r="B27" s="62" t="s">
        <v>167</v>
      </c>
      <c r="C27" s="62" t="s">
        <v>65</v>
      </c>
      <c r="D27" s="61">
        <v>64.680000000000007</v>
      </c>
      <c r="E27" s="49">
        <f t="shared" si="0"/>
        <v>0</v>
      </c>
      <c r="F27" t="s">
        <v>167</v>
      </c>
      <c r="G27">
        <v>64.680000000000007</v>
      </c>
      <c r="I27">
        <f t="shared" si="1"/>
        <v>0</v>
      </c>
      <c r="J27">
        <v>64.680000000000007</v>
      </c>
      <c r="K27" t="s">
        <v>471</v>
      </c>
    </row>
    <row r="28" spans="1:11" ht="15" customHeight="1">
      <c r="A28" s="63">
        <v>1</v>
      </c>
      <c r="B28" s="62" t="s">
        <v>169</v>
      </c>
      <c r="C28" s="62" t="s">
        <v>65</v>
      </c>
      <c r="D28" s="61">
        <v>325.92</v>
      </c>
      <c r="E28" s="49">
        <f t="shared" si="0"/>
        <v>0</v>
      </c>
      <c r="F28" t="s">
        <v>169</v>
      </c>
      <c r="G28">
        <v>325.92</v>
      </c>
      <c r="I28">
        <f t="shared" si="1"/>
        <v>0</v>
      </c>
      <c r="J28">
        <v>325.92</v>
      </c>
      <c r="K28" t="s">
        <v>472</v>
      </c>
    </row>
    <row r="29" spans="1:11" ht="15" customHeight="1">
      <c r="A29" s="63">
        <v>1</v>
      </c>
      <c r="B29" s="62" t="s">
        <v>180</v>
      </c>
      <c r="C29" s="62" t="s">
        <v>65</v>
      </c>
      <c r="D29" s="61">
        <v>649.52</v>
      </c>
      <c r="E29" s="49">
        <f t="shared" si="0"/>
        <v>0</v>
      </c>
      <c r="F29" t="s">
        <v>180</v>
      </c>
      <c r="G29">
        <v>649.52</v>
      </c>
      <c r="I29">
        <f t="shared" si="1"/>
        <v>0</v>
      </c>
      <c r="J29">
        <v>649.52</v>
      </c>
      <c r="K29" t="s">
        <v>473</v>
      </c>
    </row>
    <row r="30" spans="1:11" ht="15" customHeight="1">
      <c r="A30" s="63">
        <v>1</v>
      </c>
      <c r="B30" s="62" t="s">
        <v>181</v>
      </c>
      <c r="C30" s="62" t="s">
        <v>65</v>
      </c>
      <c r="D30" s="61">
        <v>458.7</v>
      </c>
      <c r="E30" s="49">
        <f t="shared" si="0"/>
        <v>0</v>
      </c>
      <c r="F30" t="s">
        <v>181</v>
      </c>
      <c r="G30">
        <v>458.7</v>
      </c>
      <c r="I30">
        <f t="shared" si="1"/>
        <v>0</v>
      </c>
      <c r="J30">
        <v>458.7</v>
      </c>
      <c r="K30" t="s">
        <v>474</v>
      </c>
    </row>
    <row r="31" spans="1:11" ht="15" customHeight="1">
      <c r="A31" s="63">
        <v>1</v>
      </c>
      <c r="B31" s="62" t="s">
        <v>187</v>
      </c>
      <c r="C31" s="62" t="s">
        <v>65</v>
      </c>
      <c r="D31" s="61">
        <v>592.08000000000004</v>
      </c>
      <c r="E31" s="49">
        <f t="shared" si="0"/>
        <v>0</v>
      </c>
      <c r="F31" t="s">
        <v>187</v>
      </c>
      <c r="G31">
        <v>592.08000000000004</v>
      </c>
      <c r="I31">
        <f t="shared" si="1"/>
        <v>0</v>
      </c>
      <c r="J31">
        <v>592.08000000000004</v>
      </c>
      <c r="K31" t="s">
        <v>475</v>
      </c>
    </row>
    <row r="32" spans="1:11" ht="15" customHeight="1">
      <c r="A32" s="63">
        <v>1</v>
      </c>
      <c r="B32" s="62" t="s">
        <v>188</v>
      </c>
      <c r="C32" s="62" t="s">
        <v>65</v>
      </c>
      <c r="D32" s="61">
        <v>390.48</v>
      </c>
      <c r="E32" s="49">
        <f t="shared" si="0"/>
        <v>0</v>
      </c>
      <c r="F32" t="s">
        <v>188</v>
      </c>
      <c r="G32">
        <v>390.48</v>
      </c>
      <c r="I32">
        <f t="shared" si="1"/>
        <v>0</v>
      </c>
      <c r="J32">
        <v>390.48</v>
      </c>
      <c r="K32" t="s">
        <v>476</v>
      </c>
    </row>
    <row r="33" spans="1:11" ht="15" customHeight="1">
      <c r="A33" s="63">
        <v>1</v>
      </c>
      <c r="B33" s="62" t="s">
        <v>192</v>
      </c>
      <c r="C33" s="62" t="s">
        <v>65</v>
      </c>
      <c r="D33" s="61">
        <v>642.24</v>
      </c>
      <c r="E33" s="49">
        <f t="shared" si="0"/>
        <v>0</v>
      </c>
      <c r="F33" t="s">
        <v>192</v>
      </c>
      <c r="G33">
        <v>642.24</v>
      </c>
      <c r="I33">
        <f t="shared" si="1"/>
        <v>0</v>
      </c>
      <c r="J33">
        <v>642.24</v>
      </c>
      <c r="K33" t="s">
        <v>477</v>
      </c>
    </row>
    <row r="34" spans="1:11" ht="15" customHeight="1">
      <c r="A34" s="63">
        <v>1</v>
      </c>
      <c r="B34" s="62" t="s">
        <v>195</v>
      </c>
      <c r="C34" s="62" t="s">
        <v>65</v>
      </c>
      <c r="D34" s="61">
        <v>641.66</v>
      </c>
      <c r="E34" s="49">
        <f t="shared" ref="E34:E65" si="2">D34-G34</f>
        <v>0</v>
      </c>
      <c r="F34" t="s">
        <v>195</v>
      </c>
      <c r="G34">
        <v>641.66</v>
      </c>
      <c r="I34">
        <f t="shared" si="1"/>
        <v>0</v>
      </c>
      <c r="J34">
        <v>641.66</v>
      </c>
      <c r="K34" t="s">
        <v>478</v>
      </c>
    </row>
    <row r="35" spans="1:11" ht="15" customHeight="1">
      <c r="A35" s="63">
        <v>1</v>
      </c>
      <c r="B35" s="62" t="s">
        <v>196</v>
      </c>
      <c r="C35" s="62" t="s">
        <v>65</v>
      </c>
      <c r="D35" s="61">
        <v>462.39</v>
      </c>
      <c r="E35" s="49">
        <f t="shared" si="2"/>
        <v>0</v>
      </c>
      <c r="F35" t="s">
        <v>196</v>
      </c>
      <c r="G35">
        <v>462.39</v>
      </c>
      <c r="I35">
        <f t="shared" si="1"/>
        <v>0</v>
      </c>
      <c r="J35">
        <v>462.39</v>
      </c>
      <c r="K35" t="s">
        <v>479</v>
      </c>
    </row>
    <row r="36" spans="1:11" ht="15" customHeight="1">
      <c r="A36" s="63">
        <v>1</v>
      </c>
      <c r="B36" s="62" t="s">
        <v>197</v>
      </c>
      <c r="C36" s="62" t="s">
        <v>65</v>
      </c>
      <c r="D36" s="61">
        <v>232</v>
      </c>
      <c r="E36" s="49">
        <f t="shared" si="2"/>
        <v>0</v>
      </c>
      <c r="F36" t="s">
        <v>197</v>
      </c>
      <c r="G36">
        <v>232</v>
      </c>
      <c r="I36">
        <f t="shared" si="1"/>
        <v>0</v>
      </c>
      <c r="J36">
        <v>232</v>
      </c>
      <c r="K36" t="s">
        <v>480</v>
      </c>
    </row>
    <row r="37" spans="1:11" ht="15" customHeight="1">
      <c r="A37" s="63">
        <v>1</v>
      </c>
      <c r="B37" s="62" t="s">
        <v>199</v>
      </c>
      <c r="C37" s="62" t="s">
        <v>65</v>
      </c>
      <c r="D37" s="61">
        <v>1076.3</v>
      </c>
      <c r="E37" s="49">
        <f t="shared" si="2"/>
        <v>0</v>
      </c>
      <c r="F37" t="s">
        <v>199</v>
      </c>
      <c r="G37">
        <v>1076.3</v>
      </c>
      <c r="I37">
        <f t="shared" si="1"/>
        <v>0</v>
      </c>
      <c r="J37" s="55">
        <v>1076.3</v>
      </c>
      <c r="K37" t="s">
        <v>481</v>
      </c>
    </row>
    <row r="38" spans="1:11" ht="15" customHeight="1">
      <c r="A38" s="63">
        <v>1</v>
      </c>
      <c r="B38" s="62" t="s">
        <v>201</v>
      </c>
      <c r="C38" s="62" t="s">
        <v>65</v>
      </c>
      <c r="D38" s="61">
        <v>417.29</v>
      </c>
      <c r="E38" s="49">
        <f t="shared" si="2"/>
        <v>0</v>
      </c>
      <c r="F38" t="s">
        <v>201</v>
      </c>
      <c r="G38">
        <v>417.29</v>
      </c>
      <c r="I38">
        <f t="shared" si="1"/>
        <v>0</v>
      </c>
      <c r="J38">
        <v>417.29</v>
      </c>
      <c r="K38" t="s">
        <v>482</v>
      </c>
    </row>
    <row r="39" spans="1:11" ht="15" customHeight="1">
      <c r="A39" s="63">
        <v>1</v>
      </c>
      <c r="B39" s="62" t="s">
        <v>210</v>
      </c>
      <c r="C39" s="62" t="s">
        <v>65</v>
      </c>
      <c r="D39" s="61">
        <v>413.41</v>
      </c>
      <c r="E39" s="49">
        <f t="shared" si="2"/>
        <v>0</v>
      </c>
      <c r="F39" t="s">
        <v>210</v>
      </c>
      <c r="G39">
        <v>413.41</v>
      </c>
      <c r="I39">
        <f t="shared" si="1"/>
        <v>0</v>
      </c>
      <c r="J39">
        <v>413.41</v>
      </c>
      <c r="K39" t="s">
        <v>483</v>
      </c>
    </row>
    <row r="40" spans="1:11" ht="15" customHeight="1">
      <c r="A40" s="63">
        <v>1</v>
      </c>
      <c r="B40" s="62" t="s">
        <v>212</v>
      </c>
      <c r="C40" s="62" t="s">
        <v>65</v>
      </c>
      <c r="D40" s="61">
        <v>514.28</v>
      </c>
      <c r="E40" s="49">
        <f t="shared" si="2"/>
        <v>0</v>
      </c>
      <c r="F40" t="s">
        <v>212</v>
      </c>
      <c r="G40">
        <v>514.28</v>
      </c>
      <c r="I40">
        <f t="shared" si="1"/>
        <v>0</v>
      </c>
      <c r="J40">
        <v>514.28</v>
      </c>
      <c r="K40" t="s">
        <v>484</v>
      </c>
    </row>
    <row r="41" spans="1:11" ht="15" customHeight="1">
      <c r="A41" s="63">
        <v>1</v>
      </c>
      <c r="B41" s="62" t="s">
        <v>222</v>
      </c>
      <c r="C41" s="62" t="s">
        <v>82</v>
      </c>
      <c r="D41" s="61">
        <v>3994.47</v>
      </c>
      <c r="E41" s="49">
        <f t="shared" si="2"/>
        <v>3994.47</v>
      </c>
      <c r="I41">
        <f t="shared" si="1"/>
        <v>-3994.47</v>
      </c>
      <c r="J41" s="55">
        <v>3994.47</v>
      </c>
      <c r="K41" t="s">
        <v>485</v>
      </c>
    </row>
    <row r="42" spans="1:11" ht="15" customHeight="1">
      <c r="A42" s="63">
        <v>1</v>
      </c>
      <c r="B42" s="62" t="s">
        <v>223</v>
      </c>
      <c r="C42" s="62" t="s">
        <v>82</v>
      </c>
      <c r="D42" s="61">
        <v>1880.19</v>
      </c>
      <c r="E42" s="49">
        <f t="shared" si="2"/>
        <v>0</v>
      </c>
      <c r="F42" t="s">
        <v>223</v>
      </c>
      <c r="G42">
        <v>1880.19</v>
      </c>
      <c r="I42">
        <f t="shared" si="1"/>
        <v>0</v>
      </c>
      <c r="J42" s="55">
        <v>1880.19</v>
      </c>
      <c r="K42" t="s">
        <v>486</v>
      </c>
    </row>
    <row r="43" spans="1:11" ht="15" customHeight="1">
      <c r="A43" s="63">
        <v>1</v>
      </c>
      <c r="B43" s="62" t="s">
        <v>224</v>
      </c>
      <c r="C43" s="62" t="s">
        <v>65</v>
      </c>
      <c r="D43" s="61">
        <v>281.18</v>
      </c>
      <c r="E43" s="49">
        <f t="shared" si="2"/>
        <v>0</v>
      </c>
      <c r="F43" t="s">
        <v>224</v>
      </c>
      <c r="G43">
        <v>281.18</v>
      </c>
      <c r="I43">
        <f t="shared" si="1"/>
        <v>0</v>
      </c>
      <c r="J43">
        <v>281.18</v>
      </c>
      <c r="K43" t="s">
        <v>487</v>
      </c>
    </row>
    <row r="44" spans="1:11" ht="15" customHeight="1">
      <c r="A44" s="63">
        <v>1</v>
      </c>
      <c r="B44" s="62" t="s">
        <v>225</v>
      </c>
      <c r="C44" s="62" t="s">
        <v>65</v>
      </c>
      <c r="D44" s="61">
        <v>645.66</v>
      </c>
      <c r="E44" s="49">
        <f t="shared" si="2"/>
        <v>0</v>
      </c>
      <c r="F44" t="s">
        <v>225</v>
      </c>
      <c r="G44">
        <v>645.66</v>
      </c>
      <c r="I44">
        <f t="shared" si="1"/>
        <v>0</v>
      </c>
      <c r="J44">
        <v>645.66</v>
      </c>
      <c r="K44" t="s">
        <v>488</v>
      </c>
    </row>
    <row r="45" spans="1:11" ht="15" customHeight="1">
      <c r="A45" s="63">
        <v>1</v>
      </c>
      <c r="B45" s="62" t="s">
        <v>226</v>
      </c>
      <c r="C45" s="62" t="s">
        <v>65</v>
      </c>
      <c r="D45" s="61">
        <v>482</v>
      </c>
      <c r="E45" s="49">
        <f t="shared" si="2"/>
        <v>0</v>
      </c>
      <c r="F45" t="s">
        <v>226</v>
      </c>
      <c r="G45">
        <v>482</v>
      </c>
      <c r="I45">
        <f t="shared" si="1"/>
        <v>0</v>
      </c>
      <c r="J45">
        <v>482</v>
      </c>
      <c r="K45" t="s">
        <v>489</v>
      </c>
    </row>
    <row r="46" spans="1:11" ht="15" customHeight="1">
      <c r="A46" s="63">
        <v>1</v>
      </c>
      <c r="B46" s="62" t="s">
        <v>227</v>
      </c>
      <c r="C46" s="62" t="s">
        <v>65</v>
      </c>
      <c r="D46" s="61">
        <v>1051.3399999999999</v>
      </c>
      <c r="E46" s="49">
        <f t="shared" si="2"/>
        <v>0</v>
      </c>
      <c r="F46" t="s">
        <v>227</v>
      </c>
      <c r="G46">
        <v>1051.3400000000001</v>
      </c>
      <c r="I46">
        <f t="shared" si="1"/>
        <v>0</v>
      </c>
      <c r="J46" s="55">
        <v>1051.3399999999999</v>
      </c>
      <c r="K46" t="s">
        <v>490</v>
      </c>
    </row>
    <row r="47" spans="1:11" ht="15" customHeight="1">
      <c r="A47" s="63">
        <v>1</v>
      </c>
      <c r="B47" s="62" t="s">
        <v>232</v>
      </c>
      <c r="C47" s="62" t="s">
        <v>65</v>
      </c>
      <c r="D47" s="61">
        <v>650.17999999999995</v>
      </c>
      <c r="E47" s="49">
        <f t="shared" si="2"/>
        <v>0</v>
      </c>
      <c r="F47" t="s">
        <v>232</v>
      </c>
      <c r="G47">
        <v>650.17999999999995</v>
      </c>
      <c r="I47">
        <f t="shared" si="1"/>
        <v>0</v>
      </c>
      <c r="J47">
        <v>650.17999999999995</v>
      </c>
      <c r="K47" t="s">
        <v>491</v>
      </c>
    </row>
    <row r="48" spans="1:11" ht="15" customHeight="1">
      <c r="A48" s="63">
        <v>1</v>
      </c>
      <c r="B48" s="62" t="s">
        <v>235</v>
      </c>
      <c r="C48" s="62" t="s">
        <v>65</v>
      </c>
      <c r="D48" s="61">
        <v>620.44000000000005</v>
      </c>
      <c r="E48" s="49">
        <f t="shared" si="2"/>
        <v>0</v>
      </c>
      <c r="F48" t="s">
        <v>235</v>
      </c>
      <c r="G48">
        <v>620.44000000000005</v>
      </c>
      <c r="I48">
        <f t="shared" si="1"/>
        <v>0</v>
      </c>
      <c r="J48">
        <v>620.44000000000005</v>
      </c>
      <c r="K48" t="s">
        <v>492</v>
      </c>
    </row>
    <row r="49" spans="1:11" ht="15" customHeight="1">
      <c r="A49" s="63">
        <v>1</v>
      </c>
      <c r="B49" s="62" t="s">
        <v>236</v>
      </c>
      <c r="C49" s="62" t="s">
        <v>65</v>
      </c>
      <c r="D49" s="61">
        <v>1210.1500000000001</v>
      </c>
      <c r="E49" s="49">
        <f t="shared" si="2"/>
        <v>0</v>
      </c>
      <c r="F49" t="s">
        <v>236</v>
      </c>
      <c r="G49">
        <v>1210.1500000000001</v>
      </c>
      <c r="I49">
        <f t="shared" si="1"/>
        <v>0</v>
      </c>
      <c r="J49" s="55">
        <v>1210.1500000000001</v>
      </c>
      <c r="K49" t="s">
        <v>493</v>
      </c>
    </row>
    <row r="50" spans="1:11" ht="15" customHeight="1">
      <c r="A50" s="63">
        <v>1</v>
      </c>
      <c r="B50" s="62" t="s">
        <v>238</v>
      </c>
      <c r="C50" s="62" t="s">
        <v>65</v>
      </c>
      <c r="D50" s="61">
        <v>374.3</v>
      </c>
      <c r="E50" s="49">
        <f t="shared" si="2"/>
        <v>0</v>
      </c>
      <c r="F50" t="s">
        <v>238</v>
      </c>
      <c r="G50">
        <v>374.3</v>
      </c>
      <c r="I50">
        <f t="shared" si="1"/>
        <v>0</v>
      </c>
      <c r="J50">
        <v>374.3</v>
      </c>
      <c r="K50" t="s">
        <v>494</v>
      </c>
    </row>
    <row r="51" spans="1:11" ht="15" customHeight="1">
      <c r="A51" s="63">
        <v>1</v>
      </c>
      <c r="B51" s="62" t="s">
        <v>240</v>
      </c>
      <c r="C51" s="62" t="s">
        <v>65</v>
      </c>
      <c r="D51" s="61">
        <v>687.69</v>
      </c>
      <c r="E51" s="49">
        <f t="shared" si="2"/>
        <v>0</v>
      </c>
      <c r="F51" t="s">
        <v>240</v>
      </c>
      <c r="G51">
        <v>687.69</v>
      </c>
      <c r="I51">
        <f t="shared" si="1"/>
        <v>0</v>
      </c>
      <c r="J51">
        <v>687.69</v>
      </c>
      <c r="K51" t="s">
        <v>495</v>
      </c>
    </row>
    <row r="52" spans="1:11" ht="15" customHeight="1">
      <c r="A52" s="63">
        <v>1</v>
      </c>
      <c r="B52" s="62" t="s">
        <v>243</v>
      </c>
      <c r="C52" s="62" t="s">
        <v>65</v>
      </c>
      <c r="D52" s="61">
        <v>968.74</v>
      </c>
      <c r="E52" s="49">
        <f t="shared" si="2"/>
        <v>0</v>
      </c>
      <c r="F52" t="s">
        <v>243</v>
      </c>
      <c r="G52">
        <v>968.74</v>
      </c>
      <c r="I52">
        <f t="shared" si="1"/>
        <v>0</v>
      </c>
      <c r="J52">
        <v>968.74</v>
      </c>
      <c r="K52" t="s">
        <v>496</v>
      </c>
    </row>
    <row r="53" spans="1:11" ht="15" customHeight="1">
      <c r="A53" s="63">
        <v>1</v>
      </c>
      <c r="B53" s="62" t="s">
        <v>247</v>
      </c>
      <c r="C53" s="62" t="s">
        <v>82</v>
      </c>
      <c r="D53" s="61">
        <v>2827.21</v>
      </c>
      <c r="E53" s="49">
        <f t="shared" si="2"/>
        <v>0</v>
      </c>
      <c r="F53" t="s">
        <v>247</v>
      </c>
      <c r="G53">
        <v>2827.21</v>
      </c>
      <c r="I53">
        <f t="shared" si="1"/>
        <v>0</v>
      </c>
      <c r="J53" s="55">
        <v>2827.21</v>
      </c>
      <c r="K53" t="s">
        <v>497</v>
      </c>
    </row>
    <row r="54" spans="1:11" ht="15" customHeight="1">
      <c r="A54" s="63">
        <v>1</v>
      </c>
      <c r="B54" s="62" t="s">
        <v>248</v>
      </c>
      <c r="C54" s="62" t="s">
        <v>65</v>
      </c>
      <c r="D54" s="61">
        <v>961.97</v>
      </c>
      <c r="E54" s="49">
        <f t="shared" si="2"/>
        <v>0</v>
      </c>
      <c r="F54" t="s">
        <v>248</v>
      </c>
      <c r="G54">
        <v>961.97</v>
      </c>
      <c r="I54">
        <f t="shared" si="1"/>
        <v>0</v>
      </c>
      <c r="J54">
        <v>961.97</v>
      </c>
      <c r="K54" t="s">
        <v>498</v>
      </c>
    </row>
    <row r="55" spans="1:11" ht="15" customHeight="1">
      <c r="A55" s="63">
        <v>1</v>
      </c>
      <c r="B55" s="62" t="s">
        <v>250</v>
      </c>
      <c r="C55" s="62" t="s">
        <v>65</v>
      </c>
      <c r="D55" s="61">
        <v>294.55</v>
      </c>
      <c r="E55" s="49">
        <f t="shared" si="2"/>
        <v>0</v>
      </c>
      <c r="F55" t="s">
        <v>250</v>
      </c>
      <c r="G55">
        <v>294.55</v>
      </c>
      <c r="I55">
        <f t="shared" si="1"/>
        <v>0</v>
      </c>
      <c r="J55">
        <v>294.55</v>
      </c>
      <c r="K55" t="s">
        <v>499</v>
      </c>
    </row>
    <row r="56" spans="1:11" ht="15" customHeight="1">
      <c r="A56" s="63">
        <v>1</v>
      </c>
      <c r="B56" s="62" t="s">
        <v>252</v>
      </c>
      <c r="C56" s="62" t="s">
        <v>65</v>
      </c>
      <c r="D56" s="61">
        <v>577.24</v>
      </c>
      <c r="E56" s="49">
        <f t="shared" si="2"/>
        <v>0</v>
      </c>
      <c r="F56" t="s">
        <v>252</v>
      </c>
      <c r="G56">
        <v>577.24</v>
      </c>
      <c r="I56">
        <f t="shared" si="1"/>
        <v>0</v>
      </c>
      <c r="J56">
        <v>577.24</v>
      </c>
      <c r="K56" t="s">
        <v>500</v>
      </c>
    </row>
    <row r="57" spans="1:11" ht="15" customHeight="1">
      <c r="A57" s="63">
        <v>1</v>
      </c>
      <c r="B57" s="62" t="s">
        <v>254</v>
      </c>
      <c r="C57" s="62" t="s">
        <v>65</v>
      </c>
      <c r="D57" s="61">
        <v>703.14</v>
      </c>
      <c r="E57" s="49">
        <f t="shared" si="2"/>
        <v>0</v>
      </c>
      <c r="F57" t="s">
        <v>254</v>
      </c>
      <c r="G57">
        <v>703.14</v>
      </c>
      <c r="I57">
        <f t="shared" si="1"/>
        <v>0</v>
      </c>
      <c r="J57">
        <v>703.14</v>
      </c>
      <c r="K57" t="s">
        <v>501</v>
      </c>
    </row>
    <row r="58" spans="1:11" ht="15" customHeight="1">
      <c r="A58" s="63">
        <v>1</v>
      </c>
      <c r="B58" s="62" t="s">
        <v>255</v>
      </c>
      <c r="C58" s="62" t="s">
        <v>65</v>
      </c>
      <c r="D58" s="61">
        <v>559.22</v>
      </c>
      <c r="E58" s="49">
        <f t="shared" si="2"/>
        <v>0</v>
      </c>
      <c r="F58" t="s">
        <v>255</v>
      </c>
      <c r="G58">
        <v>559.22</v>
      </c>
      <c r="I58">
        <f t="shared" si="1"/>
        <v>0</v>
      </c>
      <c r="J58">
        <v>559.22</v>
      </c>
      <c r="K58" t="s">
        <v>502</v>
      </c>
    </row>
    <row r="59" spans="1:11" ht="15" customHeight="1">
      <c r="A59" s="63">
        <v>1</v>
      </c>
      <c r="B59" s="62" t="s">
        <v>257</v>
      </c>
      <c r="C59" s="62" t="s">
        <v>65</v>
      </c>
      <c r="D59" s="61">
        <v>336.31</v>
      </c>
      <c r="E59" s="49">
        <f t="shared" si="2"/>
        <v>0</v>
      </c>
      <c r="F59" t="s">
        <v>257</v>
      </c>
      <c r="G59">
        <v>336.31</v>
      </c>
      <c r="I59">
        <f t="shared" si="1"/>
        <v>0</v>
      </c>
      <c r="J59">
        <v>336.31</v>
      </c>
      <c r="K59" t="s">
        <v>503</v>
      </c>
    </row>
    <row r="60" spans="1:11" ht="15" customHeight="1">
      <c r="A60" s="63">
        <v>1</v>
      </c>
      <c r="B60" s="62" t="s">
        <v>266</v>
      </c>
      <c r="C60" s="62" t="s">
        <v>65</v>
      </c>
      <c r="D60" s="61">
        <v>691.57</v>
      </c>
      <c r="E60" s="49">
        <f t="shared" si="2"/>
        <v>0</v>
      </c>
      <c r="F60" t="s">
        <v>266</v>
      </c>
      <c r="G60">
        <v>691.56999999999994</v>
      </c>
      <c r="I60">
        <f t="shared" si="1"/>
        <v>0</v>
      </c>
      <c r="J60">
        <v>691.57</v>
      </c>
      <c r="K60" t="s">
        <v>504</v>
      </c>
    </row>
    <row r="61" spans="1:11" ht="15" customHeight="1">
      <c r="A61" s="63">
        <v>1</v>
      </c>
      <c r="B61" s="62" t="s">
        <v>279</v>
      </c>
      <c r="C61" s="62" t="s">
        <v>65</v>
      </c>
      <c r="D61" s="61">
        <v>377.15</v>
      </c>
      <c r="E61" s="49">
        <f t="shared" si="2"/>
        <v>0</v>
      </c>
      <c r="F61" t="s">
        <v>279</v>
      </c>
      <c r="G61">
        <v>377.15</v>
      </c>
      <c r="I61">
        <f t="shared" si="1"/>
        <v>0</v>
      </c>
      <c r="J61">
        <v>377.15</v>
      </c>
      <c r="K61" t="s">
        <v>505</v>
      </c>
    </row>
    <row r="62" spans="1:11" ht="15" customHeight="1">
      <c r="A62" s="63">
        <v>1</v>
      </c>
      <c r="B62" s="62" t="s">
        <v>284</v>
      </c>
      <c r="C62" s="62" t="s">
        <v>65</v>
      </c>
      <c r="D62" s="61">
        <v>584.46</v>
      </c>
      <c r="E62" s="49">
        <f t="shared" si="2"/>
        <v>0</v>
      </c>
      <c r="F62" t="s">
        <v>284</v>
      </c>
      <c r="G62">
        <v>584.46</v>
      </c>
      <c r="I62">
        <f t="shared" si="1"/>
        <v>0</v>
      </c>
      <c r="J62">
        <v>584.46</v>
      </c>
      <c r="K62" t="s">
        <v>506</v>
      </c>
    </row>
    <row r="63" spans="1:11" ht="15" customHeight="1">
      <c r="A63" s="63">
        <v>1</v>
      </c>
      <c r="B63" s="62" t="s">
        <v>288</v>
      </c>
      <c r="C63" s="62" t="s">
        <v>65</v>
      </c>
      <c r="D63" s="61">
        <v>559.63</v>
      </c>
      <c r="E63" s="49">
        <f t="shared" si="2"/>
        <v>0</v>
      </c>
      <c r="F63" t="s">
        <v>288</v>
      </c>
      <c r="G63">
        <v>559.63</v>
      </c>
      <c r="I63">
        <f t="shared" si="1"/>
        <v>0</v>
      </c>
      <c r="J63">
        <v>559.63</v>
      </c>
      <c r="K63" t="s">
        <v>507</v>
      </c>
    </row>
    <row r="64" spans="1:11" ht="15" customHeight="1">
      <c r="A64" s="63">
        <v>1</v>
      </c>
      <c r="B64" s="62" t="s">
        <v>292</v>
      </c>
      <c r="C64" s="62" t="s">
        <v>65</v>
      </c>
      <c r="D64" s="61">
        <v>663.78</v>
      </c>
      <c r="E64" s="49">
        <f t="shared" si="2"/>
        <v>0</v>
      </c>
      <c r="F64" t="s">
        <v>292</v>
      </c>
      <c r="G64">
        <v>663.78</v>
      </c>
      <c r="I64">
        <f t="shared" si="1"/>
        <v>0</v>
      </c>
      <c r="J64">
        <v>663.78</v>
      </c>
      <c r="K64" t="s">
        <v>508</v>
      </c>
    </row>
    <row r="65" spans="1:11" ht="15" customHeight="1">
      <c r="A65" s="63">
        <v>1</v>
      </c>
      <c r="B65" s="62" t="s">
        <v>295</v>
      </c>
      <c r="C65" s="62" t="s">
        <v>65</v>
      </c>
      <c r="D65" s="61">
        <v>315</v>
      </c>
      <c r="E65" s="49">
        <f t="shared" si="2"/>
        <v>0</v>
      </c>
      <c r="F65" t="s">
        <v>295</v>
      </c>
      <c r="G65">
        <v>315</v>
      </c>
      <c r="I65">
        <f t="shared" si="1"/>
        <v>0</v>
      </c>
      <c r="J65">
        <v>315</v>
      </c>
      <c r="K65" t="s">
        <v>509</v>
      </c>
    </row>
    <row r="66" spans="1:11" ht="15" customHeight="1">
      <c r="A66" s="63">
        <v>1</v>
      </c>
      <c r="B66" s="62" t="s">
        <v>298</v>
      </c>
      <c r="C66" s="62" t="s">
        <v>65</v>
      </c>
      <c r="D66" s="61">
        <v>776.6</v>
      </c>
      <c r="E66" s="49">
        <f t="shared" ref="E66:E80" si="3">D66-G66</f>
        <v>0</v>
      </c>
      <c r="F66" t="s">
        <v>298</v>
      </c>
      <c r="G66">
        <v>776.6</v>
      </c>
      <c r="I66">
        <f t="shared" si="1"/>
        <v>0</v>
      </c>
      <c r="J66">
        <v>776.6</v>
      </c>
      <c r="K66" t="s">
        <v>510</v>
      </c>
    </row>
    <row r="67" spans="1:11" ht="15" customHeight="1">
      <c r="A67" s="63">
        <v>1</v>
      </c>
      <c r="B67" s="62" t="s">
        <v>301</v>
      </c>
      <c r="C67" s="62" t="s">
        <v>82</v>
      </c>
      <c r="D67" s="61">
        <v>604.16</v>
      </c>
      <c r="E67" s="49">
        <f t="shared" si="3"/>
        <v>604.16</v>
      </c>
      <c r="I67">
        <f t="shared" ref="I67:I79" si="4">G67-J67</f>
        <v>-604.16</v>
      </c>
      <c r="J67">
        <v>604.16</v>
      </c>
      <c r="K67" t="s">
        <v>511</v>
      </c>
    </row>
    <row r="68" spans="1:11" ht="15" customHeight="1">
      <c r="A68" s="63">
        <v>1</v>
      </c>
      <c r="B68" s="62" t="s">
        <v>307</v>
      </c>
      <c r="C68" s="62" t="s">
        <v>65</v>
      </c>
      <c r="D68" s="61">
        <v>367.54</v>
      </c>
      <c r="E68" s="49">
        <f t="shared" si="3"/>
        <v>0</v>
      </c>
      <c r="F68" t="s">
        <v>307</v>
      </c>
      <c r="G68">
        <v>367.54</v>
      </c>
      <c r="I68">
        <f t="shared" si="4"/>
        <v>0</v>
      </c>
      <c r="J68">
        <v>367.54</v>
      </c>
      <c r="K68" t="s">
        <v>512</v>
      </c>
    </row>
    <row r="69" spans="1:11" ht="15" customHeight="1">
      <c r="A69" s="63">
        <v>1</v>
      </c>
      <c r="B69" s="62" t="s">
        <v>308</v>
      </c>
      <c r="C69" s="62" t="s">
        <v>65</v>
      </c>
      <c r="D69" s="61">
        <v>617.42999999999995</v>
      </c>
      <c r="E69" s="49">
        <f t="shared" si="3"/>
        <v>0</v>
      </c>
      <c r="F69" t="s">
        <v>308</v>
      </c>
      <c r="G69">
        <v>617.43000000000006</v>
      </c>
      <c r="I69">
        <f t="shared" si="4"/>
        <v>0</v>
      </c>
      <c r="J69">
        <v>617.42999999999995</v>
      </c>
      <c r="K69" t="s">
        <v>513</v>
      </c>
    </row>
    <row r="70" spans="1:11" ht="15" customHeight="1">
      <c r="A70" s="63">
        <v>1</v>
      </c>
      <c r="B70" s="62" t="s">
        <v>309</v>
      </c>
      <c r="C70" s="62" t="s">
        <v>65</v>
      </c>
      <c r="D70" s="61">
        <v>565.75</v>
      </c>
      <c r="E70" s="49">
        <f t="shared" si="3"/>
        <v>0</v>
      </c>
      <c r="F70" t="s">
        <v>309</v>
      </c>
      <c r="G70">
        <v>565.75</v>
      </c>
      <c r="I70">
        <f t="shared" si="4"/>
        <v>0</v>
      </c>
      <c r="J70">
        <v>565.75</v>
      </c>
      <c r="K70" t="s">
        <v>514</v>
      </c>
    </row>
    <row r="71" spans="1:11" ht="15" customHeight="1">
      <c r="A71" s="63">
        <v>1</v>
      </c>
      <c r="B71" s="62" t="s">
        <v>312</v>
      </c>
      <c r="C71" s="62" t="s">
        <v>65</v>
      </c>
      <c r="D71" s="61">
        <v>220.22</v>
      </c>
      <c r="E71" s="49">
        <f t="shared" si="3"/>
        <v>0</v>
      </c>
      <c r="F71" t="s">
        <v>312</v>
      </c>
      <c r="G71">
        <v>220.22</v>
      </c>
      <c r="I71">
        <f t="shared" si="4"/>
        <v>0</v>
      </c>
      <c r="J71">
        <v>220.22</v>
      </c>
      <c r="K71" t="s">
        <v>515</v>
      </c>
    </row>
    <row r="72" spans="1:11" ht="15" customHeight="1">
      <c r="A72" s="63">
        <v>1</v>
      </c>
      <c r="B72" s="62" t="s">
        <v>317</v>
      </c>
      <c r="C72" s="62" t="s">
        <v>65</v>
      </c>
      <c r="D72" s="61">
        <v>336.35</v>
      </c>
      <c r="E72" s="49">
        <f t="shared" si="3"/>
        <v>0</v>
      </c>
      <c r="F72" t="s">
        <v>317</v>
      </c>
      <c r="G72">
        <v>336.35</v>
      </c>
      <c r="I72">
        <f t="shared" si="4"/>
        <v>0</v>
      </c>
      <c r="J72">
        <v>336.35</v>
      </c>
      <c r="K72" t="s">
        <v>516</v>
      </c>
    </row>
    <row r="73" spans="1:11" ht="15" customHeight="1">
      <c r="A73" s="63">
        <v>1</v>
      </c>
      <c r="B73" s="62" t="s">
        <v>326</v>
      </c>
      <c r="C73" s="62" t="s">
        <v>65</v>
      </c>
      <c r="D73" s="61">
        <v>692.57</v>
      </c>
      <c r="E73" s="49">
        <f t="shared" si="3"/>
        <v>0</v>
      </c>
      <c r="F73" t="s">
        <v>326</v>
      </c>
      <c r="G73">
        <v>692.57</v>
      </c>
      <c r="I73">
        <f t="shared" si="4"/>
        <v>0</v>
      </c>
      <c r="J73">
        <v>692.57</v>
      </c>
      <c r="K73" t="s">
        <v>517</v>
      </c>
    </row>
    <row r="74" spans="1:11" ht="15" customHeight="1">
      <c r="A74" s="63">
        <v>1</v>
      </c>
      <c r="B74" s="62" t="s">
        <v>327</v>
      </c>
      <c r="C74" s="62" t="s">
        <v>65</v>
      </c>
      <c r="D74" s="61">
        <v>325.45</v>
      </c>
      <c r="E74" s="49">
        <f t="shared" si="3"/>
        <v>0</v>
      </c>
      <c r="F74" t="s">
        <v>327</v>
      </c>
      <c r="G74">
        <v>325.45000000000005</v>
      </c>
      <c r="I74">
        <f t="shared" si="4"/>
        <v>0</v>
      </c>
      <c r="J74">
        <v>325.45</v>
      </c>
      <c r="K74" t="s">
        <v>518</v>
      </c>
    </row>
    <row r="75" spans="1:11" ht="15" customHeight="1">
      <c r="A75" s="63">
        <v>1</v>
      </c>
      <c r="B75" s="62" t="s">
        <v>330</v>
      </c>
      <c r="C75" s="62" t="s">
        <v>65</v>
      </c>
      <c r="D75" s="61">
        <v>474.8</v>
      </c>
      <c r="E75" s="49">
        <f t="shared" si="3"/>
        <v>0</v>
      </c>
      <c r="F75" t="s">
        <v>330</v>
      </c>
      <c r="G75">
        <v>474.80000000000007</v>
      </c>
      <c r="I75">
        <f t="shared" si="4"/>
        <v>0</v>
      </c>
      <c r="J75">
        <v>474.8</v>
      </c>
      <c r="K75" t="s">
        <v>519</v>
      </c>
    </row>
    <row r="76" spans="1:11" ht="15" customHeight="1">
      <c r="A76" s="63">
        <v>1</v>
      </c>
      <c r="B76" s="62" t="s">
        <v>332</v>
      </c>
      <c r="C76" s="62" t="s">
        <v>65</v>
      </c>
      <c r="D76" s="61">
        <v>654.72</v>
      </c>
      <c r="E76" s="49">
        <f t="shared" si="3"/>
        <v>0</v>
      </c>
      <c r="F76" t="s">
        <v>332</v>
      </c>
      <c r="G76">
        <v>654.72</v>
      </c>
      <c r="I76">
        <f t="shared" si="4"/>
        <v>0</v>
      </c>
      <c r="J76">
        <v>654.72</v>
      </c>
      <c r="K76" t="s">
        <v>520</v>
      </c>
    </row>
    <row r="77" spans="1:11" ht="15" customHeight="1">
      <c r="A77" s="63">
        <v>1</v>
      </c>
      <c r="B77" s="62" t="s">
        <v>336</v>
      </c>
      <c r="C77" s="62" t="s">
        <v>65</v>
      </c>
      <c r="D77" s="61">
        <v>610.36</v>
      </c>
      <c r="E77" s="49">
        <f t="shared" si="3"/>
        <v>0</v>
      </c>
      <c r="F77" t="s">
        <v>336</v>
      </c>
      <c r="G77">
        <v>610.36</v>
      </c>
      <c r="I77">
        <f t="shared" si="4"/>
        <v>0</v>
      </c>
      <c r="J77">
        <v>610.36</v>
      </c>
      <c r="K77" t="s">
        <v>521</v>
      </c>
    </row>
    <row r="78" spans="1:11" ht="15" customHeight="1">
      <c r="A78" s="63">
        <v>1</v>
      </c>
      <c r="B78" s="62" t="s">
        <v>338</v>
      </c>
      <c r="C78" s="62" t="s">
        <v>65</v>
      </c>
      <c r="D78" s="61">
        <v>626.65</v>
      </c>
      <c r="E78" s="49">
        <f t="shared" si="3"/>
        <v>0</v>
      </c>
      <c r="F78" t="s">
        <v>338</v>
      </c>
      <c r="G78">
        <v>626.65</v>
      </c>
      <c r="I78">
        <f t="shared" si="4"/>
        <v>0</v>
      </c>
      <c r="J78">
        <v>626.65</v>
      </c>
      <c r="K78" t="s">
        <v>522</v>
      </c>
    </row>
    <row r="79" spans="1:11" ht="15" customHeight="1">
      <c r="A79" s="63">
        <v>1</v>
      </c>
      <c r="B79" s="62" t="s">
        <v>339</v>
      </c>
      <c r="C79" s="62" t="s">
        <v>65</v>
      </c>
      <c r="D79" s="61">
        <v>665.87</v>
      </c>
      <c r="E79" s="49">
        <f t="shared" si="3"/>
        <v>0</v>
      </c>
      <c r="F79" t="s">
        <v>339</v>
      </c>
      <c r="G79">
        <v>665.87</v>
      </c>
      <c r="I79">
        <f t="shared" si="4"/>
        <v>0</v>
      </c>
      <c r="J79">
        <v>665.87</v>
      </c>
      <c r="K79" t="s">
        <v>523</v>
      </c>
    </row>
    <row r="80" spans="1:11" ht="15" customHeight="1">
      <c r="A80" s="60" t="s">
        <v>377</v>
      </c>
      <c r="B80" s="60"/>
      <c r="C80" s="60"/>
      <c r="D80" s="59">
        <f>SUBTOTAL(9,D2:D79)</f>
        <v>55417.490000000005</v>
      </c>
      <c r="E80" s="49">
        <f t="shared" si="3"/>
        <v>8647.8800000000047</v>
      </c>
      <c r="F80" t="s">
        <v>376</v>
      </c>
      <c r="G80">
        <v>46769.61</v>
      </c>
      <c r="J80">
        <f>SUM(J2:J79)</f>
        <v>55417.490000000005</v>
      </c>
    </row>
    <row r="82" spans="5:5">
      <c r="E82" s="49">
        <f>D80-E80</f>
        <v>46769.61</v>
      </c>
    </row>
  </sheetData>
  <autoFilter ref="A1:K79" xr:uid="{7B0B3C64-D2F5-4C8A-9618-41900DD95B2E}"/>
  <pageMargins left="1" right="1" top="1" bottom="1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1F97D-1025-43E8-94F4-523E4E7B89DC}">
  <dimension ref="A1:A4"/>
  <sheetViews>
    <sheetView workbookViewId="0">
      <selection sqref="A1:A4"/>
    </sheetView>
  </sheetViews>
  <sheetFormatPr defaultRowHeight="15"/>
  <cols>
    <col min="1" max="1" width="10.5703125" bestFit="1" customWidth="1"/>
  </cols>
  <sheetData>
    <row r="1" spans="1:1">
      <c r="A1" t="s">
        <v>55</v>
      </c>
    </row>
    <row r="2" spans="1:1">
      <c r="A2" t="s">
        <v>52</v>
      </c>
    </row>
    <row r="3" spans="1:1">
      <c r="A3" t="s">
        <v>53</v>
      </c>
    </row>
    <row r="4" spans="1:1">
      <c r="A4" t="s">
        <v>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BASES</vt:lpstr>
      <vt:lpstr>RATEIOS</vt:lpstr>
      <vt:lpstr>eSocial</vt:lpstr>
      <vt:lpstr>DCTFWeb</vt:lpstr>
      <vt:lpstr>GRRF</vt:lpstr>
      <vt:lpstr>EMPRESTIMOS</vt:lpstr>
      <vt:lpstr>EMPRESAS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Silva</dc:creator>
  <cp:lastModifiedBy>Henrique Silva</cp:lastModifiedBy>
  <dcterms:created xsi:type="dcterms:W3CDTF">2026-07-30T13:49:25Z</dcterms:created>
  <dcterms:modified xsi:type="dcterms:W3CDTF">2026-10-13T17:10:12Z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