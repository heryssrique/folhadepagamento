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oncr\Desktop\Henrique\2026\03-2026\Coligada 4\"/>
    </mc:Choice>
  </mc:AlternateContent>
  <xr:revisionPtr revIDLastSave="0" documentId="13_ncr:1_{B9CF8E06-191E-4A98-A577-7DFFC150BC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  <sheet name="Emprestimos" sheetId="6" r:id="rId2"/>
    <sheet name="GRRF" sheetId="2" r:id="rId3"/>
    <sheet name="eSocial" sheetId="4" r:id="rId4"/>
    <sheet name="eCAC" sheetId="5" r:id="rId5"/>
    <sheet name="1210" sheetId="3" r:id="rId6"/>
  </sheets>
  <definedNames>
    <definedName name="_xlnm._FilterDatabase" localSheetId="0" hidden="1">Sheet!$A$12:$AA$151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" i="1" l="1"/>
  <c r="B42" i="6"/>
  <c r="B40" i="6"/>
  <c r="B39" i="6"/>
  <c r="C27" i="6"/>
  <c r="C28" i="6"/>
  <c r="C29" i="6"/>
  <c r="C30" i="6"/>
  <c r="C31" i="6"/>
  <c r="C32" i="6"/>
  <c r="C33" i="6"/>
  <c r="C34" i="6"/>
  <c r="C35" i="6"/>
  <c r="C36" i="6"/>
  <c r="C37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9" i="6"/>
  <c r="C10" i="6"/>
  <c r="C11" i="6"/>
  <c r="C8" i="6"/>
  <c r="B44" i="6"/>
  <c r="L7" i="6"/>
  <c r="W2" i="1"/>
  <c r="Y4" i="1"/>
  <c r="W4" i="1"/>
  <c r="T2" i="1"/>
  <c r="XEK29" i="4"/>
  <c r="T5" i="1"/>
  <c r="T4" i="1"/>
  <c r="Q10" i="1"/>
  <c r="P10" i="1"/>
  <c r="Q2" i="1"/>
  <c r="P4" i="1"/>
  <c r="N4" i="1"/>
  <c r="N11" i="1"/>
  <c r="P2" i="1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1" i="3"/>
  <c r="AI150" i="1"/>
  <c r="AJ150" i="1"/>
  <c r="AI135" i="1"/>
  <c r="AJ135" i="1"/>
  <c r="AI136" i="1"/>
  <c r="AJ136" i="1"/>
  <c r="AI137" i="1"/>
  <c r="AJ137" i="1"/>
  <c r="AI138" i="1"/>
  <c r="AJ138" i="1"/>
  <c r="AI139" i="1"/>
  <c r="AJ139" i="1"/>
  <c r="AI140" i="1"/>
  <c r="AJ140" i="1"/>
  <c r="AI141" i="1"/>
  <c r="AJ141" i="1"/>
  <c r="AI142" i="1"/>
  <c r="AJ142" i="1"/>
  <c r="AI143" i="1"/>
  <c r="AJ143" i="1"/>
  <c r="AI144" i="1"/>
  <c r="AJ144" i="1"/>
  <c r="AI145" i="1"/>
  <c r="AJ145" i="1"/>
  <c r="AI146" i="1"/>
  <c r="AJ146" i="1"/>
  <c r="AI147" i="1"/>
  <c r="AJ147" i="1"/>
  <c r="AI148" i="1"/>
  <c r="AJ148" i="1"/>
  <c r="AI149" i="1"/>
  <c r="AJ149" i="1"/>
  <c r="AI133" i="1"/>
  <c r="AJ133" i="1"/>
  <c r="AI134" i="1"/>
  <c r="AJ134" i="1"/>
  <c r="AI119" i="1"/>
  <c r="AJ119" i="1"/>
  <c r="AI120" i="1"/>
  <c r="AJ120" i="1"/>
  <c r="AI121" i="1"/>
  <c r="AJ121" i="1"/>
  <c r="AI122" i="1"/>
  <c r="AJ122" i="1"/>
  <c r="AI123" i="1"/>
  <c r="AJ123" i="1"/>
  <c r="AI124" i="1"/>
  <c r="AJ124" i="1"/>
  <c r="AI125" i="1"/>
  <c r="AJ125" i="1"/>
  <c r="AI126" i="1"/>
  <c r="AJ126" i="1"/>
  <c r="AI127" i="1"/>
  <c r="AJ127" i="1"/>
  <c r="AI128" i="1"/>
  <c r="AJ128" i="1"/>
  <c r="AI129" i="1"/>
  <c r="AJ129" i="1"/>
  <c r="AI130" i="1"/>
  <c r="AJ130" i="1"/>
  <c r="AI131" i="1"/>
  <c r="AJ131" i="1"/>
  <c r="AI132" i="1"/>
  <c r="AJ132" i="1"/>
  <c r="AI118" i="1"/>
  <c r="AJ118" i="1"/>
  <c r="AI85" i="1"/>
  <c r="AJ85" i="1"/>
  <c r="AI86" i="1"/>
  <c r="AJ86" i="1"/>
  <c r="AI87" i="1"/>
  <c r="AJ87" i="1"/>
  <c r="AI88" i="1"/>
  <c r="AJ88" i="1"/>
  <c r="AI89" i="1"/>
  <c r="AJ89" i="1"/>
  <c r="AI90" i="1"/>
  <c r="AJ90" i="1"/>
  <c r="AI91" i="1"/>
  <c r="AJ91" i="1"/>
  <c r="AI92" i="1"/>
  <c r="AI93" i="1"/>
  <c r="AJ93" i="1"/>
  <c r="AI94" i="1"/>
  <c r="AJ94" i="1"/>
  <c r="AI95" i="1"/>
  <c r="AJ95" i="1"/>
  <c r="AI96" i="1"/>
  <c r="AJ96" i="1"/>
  <c r="AI97" i="1"/>
  <c r="AJ97" i="1"/>
  <c r="AI98" i="1"/>
  <c r="AJ98" i="1"/>
  <c r="AI99" i="1"/>
  <c r="AJ99" i="1"/>
  <c r="AI100" i="1"/>
  <c r="AJ100" i="1"/>
  <c r="AI101" i="1"/>
  <c r="AJ101" i="1"/>
  <c r="AI102" i="1"/>
  <c r="AJ102" i="1"/>
  <c r="AI103" i="1"/>
  <c r="AJ103" i="1"/>
  <c r="AI104" i="1"/>
  <c r="AJ104" i="1"/>
  <c r="AI105" i="1"/>
  <c r="AJ105" i="1"/>
  <c r="AI106" i="1"/>
  <c r="AJ106" i="1"/>
  <c r="AI107" i="1"/>
  <c r="AJ107" i="1"/>
  <c r="AI108" i="1"/>
  <c r="AJ108" i="1"/>
  <c r="AI109" i="1"/>
  <c r="AJ109" i="1"/>
  <c r="AI110" i="1"/>
  <c r="AJ110" i="1"/>
  <c r="AI111" i="1"/>
  <c r="AJ111" i="1"/>
  <c r="AI112" i="1"/>
  <c r="AJ112" i="1"/>
  <c r="AI113" i="1"/>
  <c r="AI114" i="1"/>
  <c r="AJ114" i="1"/>
  <c r="AI115" i="1"/>
  <c r="AJ115" i="1"/>
  <c r="AI116" i="1"/>
  <c r="AJ116" i="1"/>
  <c r="AI117" i="1"/>
  <c r="AJ117" i="1"/>
  <c r="AI84" i="1"/>
  <c r="AJ84" i="1"/>
  <c r="AI74" i="1"/>
  <c r="AJ74" i="1"/>
  <c r="AI75" i="1"/>
  <c r="AJ75" i="1"/>
  <c r="AI76" i="1"/>
  <c r="AJ76" i="1"/>
  <c r="AI77" i="1"/>
  <c r="AJ77" i="1"/>
  <c r="AI78" i="1"/>
  <c r="AJ78" i="1"/>
  <c r="AI79" i="1"/>
  <c r="AJ79" i="1"/>
  <c r="AI80" i="1"/>
  <c r="AJ80" i="1"/>
  <c r="AI81" i="1"/>
  <c r="AJ81" i="1"/>
  <c r="AI82" i="1"/>
  <c r="AJ82" i="1"/>
  <c r="AI83" i="1"/>
  <c r="AJ83" i="1"/>
  <c r="AI73" i="1"/>
  <c r="AJ73" i="1"/>
  <c r="AI60" i="1"/>
  <c r="AJ60" i="1"/>
  <c r="AI61" i="1"/>
  <c r="AI62" i="1"/>
  <c r="AJ62" i="1"/>
  <c r="AI63" i="1"/>
  <c r="AJ63" i="1"/>
  <c r="AI64" i="1"/>
  <c r="AI65" i="1"/>
  <c r="AJ65" i="1"/>
  <c r="AI66" i="1"/>
  <c r="AI67" i="1"/>
  <c r="AJ67" i="1"/>
  <c r="AI68" i="1"/>
  <c r="AJ68" i="1"/>
  <c r="AI69" i="1"/>
  <c r="AJ69" i="1"/>
  <c r="AI70" i="1"/>
  <c r="AJ70" i="1"/>
  <c r="AI71" i="1"/>
  <c r="AJ71" i="1"/>
  <c r="AI72" i="1"/>
  <c r="AJ72" i="1"/>
  <c r="AI59" i="1"/>
  <c r="AJ59" i="1"/>
  <c r="AI58" i="1"/>
  <c r="AJ58" i="1"/>
  <c r="AI57" i="1"/>
  <c r="AJ57" i="1"/>
  <c r="AI46" i="1"/>
  <c r="AJ46" i="1"/>
  <c r="AI47" i="1"/>
  <c r="AJ47" i="1"/>
  <c r="AI48" i="1"/>
  <c r="AJ48" i="1"/>
  <c r="AI49" i="1"/>
  <c r="AJ49" i="1"/>
  <c r="AI50" i="1"/>
  <c r="AJ50" i="1"/>
  <c r="AI51" i="1"/>
  <c r="AJ51" i="1"/>
  <c r="AI52" i="1"/>
  <c r="AJ52" i="1"/>
  <c r="AI53" i="1"/>
  <c r="AJ53" i="1"/>
  <c r="AI54" i="1"/>
  <c r="AJ54" i="1"/>
  <c r="AI55" i="1"/>
  <c r="AI56" i="1"/>
  <c r="AJ56" i="1"/>
  <c r="AI44" i="1"/>
  <c r="AJ44" i="1"/>
  <c r="AI45" i="1"/>
  <c r="AJ45" i="1"/>
  <c r="AI42" i="1"/>
  <c r="AJ42" i="1"/>
  <c r="AI43" i="1"/>
  <c r="AJ43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I29" i="1"/>
  <c r="AJ29" i="1"/>
  <c r="AI30" i="1"/>
  <c r="AJ30" i="1"/>
  <c r="AI31" i="1"/>
  <c r="AJ31" i="1"/>
  <c r="AI32" i="1"/>
  <c r="AJ32" i="1"/>
  <c r="AI33" i="1"/>
  <c r="AJ33" i="1"/>
  <c r="AI34" i="1"/>
  <c r="AJ34" i="1"/>
  <c r="AI35" i="1"/>
  <c r="AJ35" i="1"/>
  <c r="AI36" i="1"/>
  <c r="AJ36" i="1"/>
  <c r="AI37" i="1"/>
  <c r="AJ37" i="1"/>
  <c r="AI38" i="1"/>
  <c r="AJ38" i="1"/>
  <c r="AI39" i="1"/>
  <c r="AJ39" i="1"/>
  <c r="AI40" i="1"/>
  <c r="AJ40" i="1"/>
  <c r="AI41" i="1"/>
  <c r="AJ41" i="1"/>
  <c r="AI14" i="1"/>
  <c r="AJ14" i="1"/>
  <c r="AI15" i="1"/>
  <c r="AJ15" i="1"/>
  <c r="AI16" i="1"/>
  <c r="AJ16" i="1"/>
  <c r="AI17" i="1"/>
  <c r="AJ17" i="1"/>
  <c r="AI18" i="1"/>
  <c r="AJ18" i="1"/>
  <c r="AI13" i="1"/>
  <c r="AJ13" i="1"/>
  <c r="F160" i="1"/>
  <c r="E160" i="1" s="1"/>
  <c r="AB130" i="1"/>
  <c r="AC130" i="1"/>
  <c r="AB131" i="1"/>
  <c r="AC131" i="1"/>
  <c r="AB132" i="1"/>
  <c r="AC132" i="1"/>
  <c r="AB133" i="1"/>
  <c r="AC133" i="1"/>
  <c r="AB134" i="1"/>
  <c r="AC134" i="1"/>
  <c r="AB135" i="1"/>
  <c r="AC135" i="1"/>
  <c r="AB136" i="1"/>
  <c r="AC136" i="1"/>
  <c r="AB137" i="1"/>
  <c r="AC137" i="1"/>
  <c r="AB138" i="1"/>
  <c r="AC138" i="1"/>
  <c r="AB139" i="1"/>
  <c r="AC139" i="1"/>
  <c r="AB140" i="1"/>
  <c r="AC140" i="1"/>
  <c r="AB141" i="1"/>
  <c r="AC141" i="1"/>
  <c r="AB142" i="1"/>
  <c r="AC142" i="1"/>
  <c r="AB143" i="1"/>
  <c r="AC143" i="1"/>
  <c r="AB144" i="1"/>
  <c r="AC144" i="1"/>
  <c r="AB145" i="1"/>
  <c r="AC145" i="1"/>
  <c r="AB146" i="1"/>
  <c r="AC146" i="1"/>
  <c r="AB147" i="1"/>
  <c r="AC147" i="1"/>
  <c r="AB148" i="1"/>
  <c r="AC148" i="1"/>
  <c r="AB149" i="1"/>
  <c r="AC149" i="1"/>
  <c r="AB151" i="1"/>
  <c r="AC151" i="1"/>
  <c r="AB152" i="1"/>
  <c r="AC152" i="1"/>
  <c r="AB153" i="1"/>
  <c r="AC153" i="1"/>
  <c r="AB129" i="1"/>
  <c r="AC129" i="1"/>
  <c r="AC112" i="1"/>
  <c r="AB72" i="1"/>
  <c r="AC72" i="1"/>
  <c r="AB73" i="1"/>
  <c r="AC73" i="1"/>
  <c r="AB74" i="1"/>
  <c r="AC74" i="1"/>
  <c r="AB75" i="1"/>
  <c r="AC75" i="1"/>
  <c r="AB76" i="1"/>
  <c r="AC76" i="1"/>
  <c r="AB77" i="1"/>
  <c r="AC77" i="1"/>
  <c r="AB78" i="1"/>
  <c r="AC78" i="1"/>
  <c r="AB79" i="1"/>
  <c r="AC79" i="1"/>
  <c r="AB80" i="1"/>
  <c r="AC80" i="1"/>
  <c r="AB81" i="1"/>
  <c r="AC81" i="1"/>
  <c r="AB82" i="1"/>
  <c r="AC82" i="1"/>
  <c r="AB83" i="1"/>
  <c r="AC83" i="1"/>
  <c r="AB84" i="1"/>
  <c r="AC84" i="1"/>
  <c r="AB85" i="1"/>
  <c r="AC85" i="1"/>
  <c r="AB86" i="1"/>
  <c r="AC86" i="1"/>
  <c r="AB87" i="1"/>
  <c r="AC87" i="1"/>
  <c r="AB88" i="1"/>
  <c r="AC88" i="1"/>
  <c r="AB89" i="1"/>
  <c r="AC89" i="1"/>
  <c r="AB90" i="1"/>
  <c r="AC90" i="1"/>
  <c r="AB91" i="1"/>
  <c r="AC91" i="1"/>
  <c r="AB92" i="1"/>
  <c r="AC92" i="1"/>
  <c r="AB93" i="1"/>
  <c r="AC93" i="1"/>
  <c r="AB94" i="1"/>
  <c r="AC94" i="1"/>
  <c r="AB95" i="1"/>
  <c r="AC95" i="1"/>
  <c r="AB96" i="1"/>
  <c r="AC96" i="1"/>
  <c r="AB97" i="1"/>
  <c r="AC97" i="1"/>
  <c r="AB98" i="1"/>
  <c r="AC98" i="1"/>
  <c r="AB99" i="1"/>
  <c r="AC99" i="1"/>
  <c r="AB100" i="1"/>
  <c r="AC100" i="1"/>
  <c r="AB101" i="1"/>
  <c r="AC101" i="1"/>
  <c r="AB102" i="1"/>
  <c r="AC102" i="1"/>
  <c r="AB103" i="1"/>
  <c r="AC103" i="1"/>
  <c r="AB104" i="1"/>
  <c r="AC104" i="1"/>
  <c r="AB105" i="1"/>
  <c r="AC105" i="1"/>
  <c r="AB106" i="1"/>
  <c r="AC106" i="1"/>
  <c r="AB107" i="1"/>
  <c r="AC107" i="1"/>
  <c r="AB108" i="1"/>
  <c r="AC108" i="1"/>
  <c r="AB109" i="1"/>
  <c r="AC109" i="1"/>
  <c r="AB110" i="1"/>
  <c r="AC110" i="1"/>
  <c r="AB111" i="1"/>
  <c r="AC111" i="1"/>
  <c r="AB112" i="1"/>
  <c r="AB113" i="1"/>
  <c r="AC113" i="1"/>
  <c r="AB114" i="1"/>
  <c r="AC114" i="1"/>
  <c r="AB115" i="1"/>
  <c r="AC115" i="1"/>
  <c r="AB116" i="1"/>
  <c r="AC116" i="1"/>
  <c r="AB117" i="1"/>
  <c r="AC117" i="1"/>
  <c r="AB118" i="1"/>
  <c r="AC118" i="1"/>
  <c r="AB119" i="1"/>
  <c r="AC119" i="1"/>
  <c r="AB120" i="1"/>
  <c r="AC120" i="1"/>
  <c r="AB121" i="1"/>
  <c r="AC121" i="1"/>
  <c r="AB122" i="1"/>
  <c r="AC122" i="1"/>
  <c r="AB123" i="1"/>
  <c r="AC123" i="1"/>
  <c r="AB124" i="1"/>
  <c r="AC124" i="1"/>
  <c r="AB125" i="1"/>
  <c r="AC125" i="1"/>
  <c r="AB126" i="1"/>
  <c r="AC126" i="1"/>
  <c r="AB127" i="1"/>
  <c r="AC127" i="1"/>
  <c r="AB128" i="1"/>
  <c r="AC128" i="1"/>
  <c r="AB71" i="1"/>
  <c r="AC71" i="1"/>
  <c r="AB14" i="1"/>
  <c r="AC14" i="1"/>
  <c r="AB15" i="1"/>
  <c r="AC15" i="1"/>
  <c r="AB16" i="1"/>
  <c r="AC16" i="1"/>
  <c r="AB17" i="1"/>
  <c r="AC17" i="1"/>
  <c r="AB18" i="1"/>
  <c r="AC18" i="1"/>
  <c r="AB19" i="1"/>
  <c r="AC19" i="1"/>
  <c r="AB20" i="1"/>
  <c r="AC20" i="1"/>
  <c r="AB21" i="1"/>
  <c r="AC21" i="1"/>
  <c r="AB22" i="1"/>
  <c r="AC22" i="1"/>
  <c r="AB23" i="1"/>
  <c r="AC23" i="1"/>
  <c r="AB24" i="1"/>
  <c r="AC24" i="1"/>
  <c r="AB25" i="1"/>
  <c r="AC25" i="1"/>
  <c r="AB26" i="1"/>
  <c r="AC26" i="1"/>
  <c r="AB27" i="1"/>
  <c r="AC27" i="1"/>
  <c r="AB28" i="1"/>
  <c r="AC28" i="1"/>
  <c r="AB29" i="1"/>
  <c r="AC29" i="1"/>
  <c r="AB30" i="1"/>
  <c r="AC30" i="1"/>
  <c r="AB31" i="1"/>
  <c r="AC31" i="1"/>
  <c r="AB32" i="1"/>
  <c r="AC32" i="1"/>
  <c r="AB33" i="1"/>
  <c r="AC33" i="1"/>
  <c r="AB34" i="1"/>
  <c r="AC34" i="1"/>
  <c r="AB35" i="1"/>
  <c r="AC35" i="1"/>
  <c r="AB36" i="1"/>
  <c r="AC36" i="1"/>
  <c r="AB37" i="1"/>
  <c r="AC37" i="1"/>
  <c r="AB38" i="1"/>
  <c r="AC38" i="1"/>
  <c r="AB39" i="1"/>
  <c r="AC39" i="1"/>
  <c r="AB40" i="1"/>
  <c r="AC40" i="1"/>
  <c r="AB41" i="1"/>
  <c r="AC41" i="1"/>
  <c r="AB42" i="1"/>
  <c r="AC42" i="1"/>
  <c r="AB43" i="1"/>
  <c r="AC43" i="1"/>
  <c r="AB44" i="1"/>
  <c r="AC44" i="1"/>
  <c r="AB45" i="1"/>
  <c r="AC45" i="1"/>
  <c r="AB46" i="1"/>
  <c r="AC46" i="1"/>
  <c r="AB47" i="1"/>
  <c r="AC47" i="1"/>
  <c r="AB48" i="1"/>
  <c r="AC48" i="1"/>
  <c r="AB49" i="1"/>
  <c r="AC49" i="1"/>
  <c r="AB50" i="1"/>
  <c r="AC50" i="1"/>
  <c r="AB51" i="1"/>
  <c r="AC51" i="1"/>
  <c r="AB52" i="1"/>
  <c r="AC52" i="1"/>
  <c r="AB53" i="1"/>
  <c r="AC53" i="1"/>
  <c r="AB54" i="1"/>
  <c r="AC54" i="1"/>
  <c r="AB55" i="1"/>
  <c r="AC55" i="1"/>
  <c r="AB56" i="1"/>
  <c r="AC56" i="1"/>
  <c r="AB57" i="1"/>
  <c r="AC57" i="1"/>
  <c r="AB58" i="1"/>
  <c r="AC58" i="1"/>
  <c r="AB59" i="1"/>
  <c r="AC59" i="1"/>
  <c r="AB60" i="1"/>
  <c r="AC60" i="1"/>
  <c r="AB61" i="1"/>
  <c r="AC61" i="1"/>
  <c r="AB62" i="1"/>
  <c r="AC62" i="1"/>
  <c r="AB63" i="1"/>
  <c r="AC63" i="1"/>
  <c r="AB64" i="1"/>
  <c r="AC64" i="1"/>
  <c r="AB65" i="1"/>
  <c r="AC65" i="1"/>
  <c r="AB66" i="1"/>
  <c r="AC66" i="1"/>
  <c r="AB67" i="1"/>
  <c r="AC67" i="1"/>
  <c r="AB68" i="1"/>
  <c r="AC68" i="1"/>
  <c r="AB69" i="1"/>
  <c r="AC69" i="1"/>
  <c r="AB70" i="1"/>
  <c r="AC70" i="1"/>
  <c r="AC13" i="1"/>
  <c r="AB13" i="1"/>
  <c r="AH150" i="1"/>
  <c r="AG150" i="1"/>
  <c r="AF150" i="1"/>
  <c r="AE150" i="1"/>
  <c r="E155" i="1"/>
  <c r="S4" i="1"/>
  <c r="Q8" i="1"/>
  <c r="V3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J113" i="1"/>
  <c r="AJ113" i="1" s="1"/>
  <c r="J92" i="1"/>
  <c r="AJ92" i="1" s="1"/>
  <c r="J66" i="1"/>
  <c r="AJ66" i="1" s="1"/>
  <c r="J64" i="1"/>
  <c r="AJ64" i="1" s="1"/>
  <c r="J61" i="1"/>
  <c r="AJ61" i="1" s="1"/>
  <c r="J55" i="1"/>
  <c r="AJ55" i="1" s="1"/>
  <c r="S13" i="2"/>
  <c r="S12" i="2"/>
  <c r="S11" i="2"/>
  <c r="S10" i="2"/>
  <c r="S9" i="2"/>
  <c r="S8" i="2"/>
  <c r="S7" i="2"/>
  <c r="S6" i="2"/>
  <c r="S5" i="2"/>
  <c r="S4" i="2"/>
  <c r="S3" i="2"/>
  <c r="S2" i="2"/>
  <c r="S14" i="2" s="1"/>
  <c r="C42" i="6" l="1"/>
  <c r="V4" i="1"/>
  <c r="AB150" i="1"/>
  <c r="AC150" i="1"/>
  <c r="S5" i="1"/>
  <c r="S6" i="1" s="1"/>
  <c r="T3" i="1"/>
  <c r="G157" i="1"/>
  <c r="E157" i="1"/>
  <c r="H157" i="1" l="1"/>
  <c r="E165" i="1"/>
  <c r="G165" i="1" s="1"/>
  <c r="E158" i="1"/>
  <c r="E164" i="1" l="1"/>
  <c r="G164" i="1" s="1"/>
  <c r="G167" i="1" s="1"/>
  <c r="H158" i="1"/>
  <c r="H16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<sst xmlns="http://schemas.openxmlformats.org/spreadsheetml/2006/main" count="1368" uniqueCount="464">
  <si>
    <t>BASEFGTS</t>
  </si>
  <si>
    <t>BASEFGTSAVPREVIO</t>
  </si>
  <si>
    <t>BASEFGTS13AVPREVIO</t>
  </si>
  <si>
    <t>BASEFGTS13</t>
  </si>
  <si>
    <t>FGTS</t>
  </si>
  <si>
    <t>FGTS_AVISO</t>
  </si>
  <si>
    <t>FGTS13_AVISO</t>
  </si>
  <si>
    <t>FGTS13</t>
  </si>
  <si>
    <t>BASEINSS</t>
  </si>
  <si>
    <t>BASEINSS13</t>
  </si>
  <si>
    <t>INSS</t>
  </si>
  <si>
    <t>INSS13</t>
  </si>
  <si>
    <t>INSSFERIAS</t>
  </si>
  <si>
    <t>INSS EMPRESA</t>
  </si>
  <si>
    <t>INSS RAT AJUSTADO</t>
  </si>
  <si>
    <t>INSS TERCEIROS</t>
  </si>
  <si>
    <t>TOTAL GUA</t>
  </si>
  <si>
    <t>BASEIRRF</t>
  </si>
  <si>
    <t>BASEIRRFFERIAS</t>
  </si>
  <si>
    <t>IRRF</t>
  </si>
  <si>
    <t>IRRF13</t>
  </si>
  <si>
    <t>IRRFFERIAS</t>
  </si>
  <si>
    <t>NOME</t>
  </si>
  <si>
    <t>CCUSTO</t>
  </si>
  <si>
    <t>CODSITUACAO</t>
  </si>
  <si>
    <t>CODTIPO</t>
  </si>
  <si>
    <t>ADNNY DA SILVA PITANGA</t>
  </si>
  <si>
    <t>BR - 060/GO - Rio Verde GO</t>
  </si>
  <si>
    <t>D</t>
  </si>
  <si>
    <t>N</t>
  </si>
  <si>
    <t>ADRYAN ANDRADE ESPIRITO SANTO</t>
  </si>
  <si>
    <t>ALDECIR DA SILVA</t>
  </si>
  <si>
    <t>BR-463/MS - Dourados</t>
  </si>
  <si>
    <t>A</t>
  </si>
  <si>
    <t>ALDO PLACIDO DE ESPIRITO SANTO</t>
  </si>
  <si>
    <t>Oficina</t>
  </si>
  <si>
    <t>ALESSANDRO OMIDO DA SILVA</t>
  </si>
  <si>
    <t>ALISSON ALVES DA CRUZ</t>
  </si>
  <si>
    <t>BR-376/MS - Nova Andradina / Ivinhema</t>
  </si>
  <si>
    <t>ALOIR DE SOUZA VIANA</t>
  </si>
  <si>
    <t>BR - 262/MS - Miranda - Guaicurus MS</t>
  </si>
  <si>
    <t>ANDERSEN GUASSACE RODRIGUES</t>
  </si>
  <si>
    <t>BR-262 e 359/MS - Corumbá - 2º Contrato</t>
  </si>
  <si>
    <t>ANDRE AUGUSTO CAVALHEIRO DA SILVA</t>
  </si>
  <si>
    <t>BR - 267/MS - Nova Alvorada MS - 2º Contrato</t>
  </si>
  <si>
    <t>ANDREIA PERPETUA MORENO</t>
  </si>
  <si>
    <t>ANTONIO MARCOS DE LIMA</t>
  </si>
  <si>
    <t>ANTONIO MARCOS DOS SANTOS MOREIRA</t>
  </si>
  <si>
    <t>Restaura MS180 - Juti MS</t>
  </si>
  <si>
    <t>ARNALDO SALLES GUIMARAES</t>
  </si>
  <si>
    <t>BR-060/MS - Jardim - 2º Contrato</t>
  </si>
  <si>
    <t>CANDELARIO GARCIA MELGAR</t>
  </si>
  <si>
    <t>CARLA CRISTINA GAMBATTI</t>
  </si>
  <si>
    <t>Financeiro</t>
  </si>
  <si>
    <t>CARLOS DONIZETI BOTARO</t>
  </si>
  <si>
    <t>BR - 060/MS Contorno Campo Grande 2º Contrato</t>
  </si>
  <si>
    <t>CARLOS HENRIQUE TREVISAN BARBOSA</t>
  </si>
  <si>
    <t>BR - 359/MS - Coxim MS</t>
  </si>
  <si>
    <t>CARLOS MORAES</t>
  </si>
  <si>
    <t>CHARLES FRANCO RODRIGUES</t>
  </si>
  <si>
    <t>CIRO OLICE SALINE VILALBA</t>
  </si>
  <si>
    <t>CLAUDIO DOS SANTOS ROCHA</t>
  </si>
  <si>
    <t>DAGLOS LOVEIRA VAZ</t>
  </si>
  <si>
    <t>DALVA APARECIDA DA SILVA</t>
  </si>
  <si>
    <t>DANIEL ALVES CARDOSO</t>
  </si>
  <si>
    <t>BR-060/MS - Pedra / Nioaque</t>
  </si>
  <si>
    <t>DANIEL DE OLIVEIRA DOS SANTOS SPOHR</t>
  </si>
  <si>
    <t>DANIEL GONZAGA SOUZA</t>
  </si>
  <si>
    <t>DENILSON MULLER BATISTA</t>
  </si>
  <si>
    <t>DIOGENES CARDOSO DE ANDRADE</t>
  </si>
  <si>
    <t>EDER AUGUSTO TREVISAN BARBOSA</t>
  </si>
  <si>
    <t>BR - 060/MS - Sidrolândia MS</t>
  </si>
  <si>
    <t>EDIVANIO RODRIGUES DA SILVA</t>
  </si>
  <si>
    <t>EDUARDO BATISTA MOREIRA</t>
  </si>
  <si>
    <t>ELERRANDRO DUTRA SOUSA</t>
  </si>
  <si>
    <t>ELIAQUIM SANTOS MACHADO</t>
  </si>
  <si>
    <t>ELIAS FREITAS DE MIRANDA</t>
  </si>
  <si>
    <t>ELIUDI DANIEL</t>
  </si>
  <si>
    <t>ELIZABETE DUARTE DA SILVA</t>
  </si>
  <si>
    <t>ELTON DA SILVA FONSECA</t>
  </si>
  <si>
    <t>ELTON DA SILVA SOARES</t>
  </si>
  <si>
    <t>ERLON BRUNO DA CONCEICAO ALVES</t>
  </si>
  <si>
    <t>EVALDO BENEDITO CONSTANTINO</t>
  </si>
  <si>
    <t>EVANDRO ANTONIO JOAQUIM</t>
  </si>
  <si>
    <t>FABIO VELASQUEZ GALEANO</t>
  </si>
  <si>
    <t>FELIPE DISTACIO LOPES</t>
  </si>
  <si>
    <t>Z</t>
  </si>
  <si>
    <t>FELIPE GONZALES LIMA</t>
  </si>
  <si>
    <t>FILIPE DOS SANTOS</t>
  </si>
  <si>
    <t>FLAVIO CARLOS DE SOUZA ORTEGA</t>
  </si>
  <si>
    <t>V</t>
  </si>
  <si>
    <t>FRANCISCO DE ASSIS ANDRADE NETO</t>
  </si>
  <si>
    <t>FRANCISCO PEREIRA CRUZ</t>
  </si>
  <si>
    <t>GABRIEL CAMPOS TELES</t>
  </si>
  <si>
    <t>GEFERSON ESCOT ATAIDE THOMAZ</t>
  </si>
  <si>
    <t>GUILHERME GUIMARAES XAVIER</t>
  </si>
  <si>
    <t>GUILHERME MARTINS LOURENCO</t>
  </si>
  <si>
    <t>GUSTAVO DUARTE DA SILVA</t>
  </si>
  <si>
    <t>HEITOR XAVIER FIDELIS</t>
  </si>
  <si>
    <t>JACIR DE ARAUJO LELLES</t>
  </si>
  <si>
    <t>JADSON DA COSTA GOMES</t>
  </si>
  <si>
    <t>JAIRO IBANES</t>
  </si>
  <si>
    <t>JOAO BATISTA CARDOSO DE BARROS</t>
  </si>
  <si>
    <t>JOAO IBANHES JUNIOR</t>
  </si>
  <si>
    <t>P</t>
  </si>
  <si>
    <t>JOAO LUCAS DA SILVA FIRMO</t>
  </si>
  <si>
    <t>JOAO PAULO LUCARELO GOMES</t>
  </si>
  <si>
    <t>JOAO VITOR DA SILVA SOUZA</t>
  </si>
  <si>
    <t>JOAO VITOR DE ARRUDA DOS SANTOS</t>
  </si>
  <si>
    <t>JOEL DA SILVA</t>
  </si>
  <si>
    <t>JONAS CARDOSO DE ALMEIDA</t>
  </si>
  <si>
    <t>JORGE JEFERSON SILVA CHAVES</t>
  </si>
  <si>
    <t>JOSE ANTUNES DE ABREU NETO</t>
  </si>
  <si>
    <t>JOSE CARLOS GIMENEZ AQUINO</t>
  </si>
  <si>
    <t>JOSE JUNIOR VIEIRA DA SILVA</t>
  </si>
  <si>
    <t>JOSE LUIZ CARDOSO</t>
  </si>
  <si>
    <t>JOSE OLIVEIRA DE SOUZA</t>
  </si>
  <si>
    <t>JOSE PETRUCIO JACINTO DA SILVA</t>
  </si>
  <si>
    <t>JOSE PRUDENCIO PINHEIRO</t>
  </si>
  <si>
    <t>JOSE RENATO DE FIGUEIREDO FILHO</t>
  </si>
  <si>
    <t>JOSIEL DO NASCIMENTO ROCHA</t>
  </si>
  <si>
    <t>JUAN MARX SIQUEIRA MOREIRA</t>
  </si>
  <si>
    <t>JUNIOR CESAR CARDOSO ALEM</t>
  </si>
  <si>
    <t>BR-419/MS - Anastacio</t>
  </si>
  <si>
    <t>KAUAN MATEUS MENDES DA SILVA</t>
  </si>
  <si>
    <t>LEANDRO ALVES MACEDO</t>
  </si>
  <si>
    <t>LEONARDO VINICIUS DE SOUZA</t>
  </si>
  <si>
    <t>LUCAS ALSAMENDIA DE OLIVEIRA</t>
  </si>
  <si>
    <t>LUCAS MOURA DOS SANTOS</t>
  </si>
  <si>
    <t>LUCIANO DE LIMA</t>
  </si>
  <si>
    <t>LUCIANO FARIAS RIBEIRO</t>
  </si>
  <si>
    <t>LUCIANO LOUVEIRA DA CONCEICAO</t>
  </si>
  <si>
    <t>LUIZ PEDRO DOS SANTOS</t>
  </si>
  <si>
    <t>MARCELO APARECIDO VIEIRA GOMES</t>
  </si>
  <si>
    <t>MARCIO DE OLIVEIRA MARTINS</t>
  </si>
  <si>
    <t>MARCOS ANTONIO DA SILVA MORAES</t>
  </si>
  <si>
    <t>MARCOS GONCALVES PEREIRA</t>
  </si>
  <si>
    <t>MARCOS MARCIEL DA SILVA</t>
  </si>
  <si>
    <t>MARCOS OLIVEIRA DE CAMPOS</t>
  </si>
  <si>
    <t>MATEUS BATISTA DA COSTA</t>
  </si>
  <si>
    <t>MATEUS MARCIEL DA SILVA</t>
  </si>
  <si>
    <t>MATHEUS BUOSI LYRA</t>
  </si>
  <si>
    <t>MATHEUS FELIPE DE ARAUJO LEONEL</t>
  </si>
  <si>
    <t>MAURA CELIA PEREIRA</t>
  </si>
  <si>
    <t>MICHEL KAFURY PAEL</t>
  </si>
  <si>
    <t>MIGUEL ANGELO BASSAN BERRIEL</t>
  </si>
  <si>
    <t>MIQUELE MENEZES VIEIRA</t>
  </si>
  <si>
    <t>MURILO HENRIQUE MATOS SOARES</t>
  </si>
  <si>
    <t>NILSON BERNAL DA SILVA</t>
  </si>
  <si>
    <t>NILSON DA SILVA</t>
  </si>
  <si>
    <t>PAULO DE ALMEIDA</t>
  </si>
  <si>
    <t>PAULO PEREIRA MAIA</t>
  </si>
  <si>
    <t>PEDRO HENRIQUE DE SOUSA PINHEIRO</t>
  </si>
  <si>
    <t>RAMAO PRATES DA SILVA</t>
  </si>
  <si>
    <t>RAMOALDO SOUZA ROA</t>
  </si>
  <si>
    <t>RAONI LEDESMA PAGANARDI</t>
  </si>
  <si>
    <t>RAYLLIEVER ISAC DO AMARAL DIAS</t>
  </si>
  <si>
    <t>REGINALDO CONCEICAO DA CUNHA</t>
  </si>
  <si>
    <t>REGINALDO DA SILVA SALTIVA</t>
  </si>
  <si>
    <t>REGINALDO ZOZIMO DA COSTA</t>
  </si>
  <si>
    <t>RICARDO LARANJEIRAS DE FARIAS</t>
  </si>
  <si>
    <t>RICARDO NOGUEIRA AGUIAR</t>
  </si>
  <si>
    <t>ROBERTH ROMANO BORGES</t>
  </si>
  <si>
    <t>RODRIGO SILVA DE LIMA</t>
  </si>
  <si>
    <t>ROGERIO VINICIUS PEIXOTO RIBEIRO</t>
  </si>
  <si>
    <t>RONIVALDO MONTEIRO ALEM</t>
  </si>
  <si>
    <t>ROSEMAR CARDOSO ALEM</t>
  </si>
  <si>
    <t>SAMUEL DA SILVA SOARES</t>
  </si>
  <si>
    <t>SAMUEL DE ALMEIDA GOMES</t>
  </si>
  <si>
    <t>SEVERINO MARTINS PEREIRA</t>
  </si>
  <si>
    <t>SILVANO LIMA</t>
  </si>
  <si>
    <t>TEMISTOCLES CANDIDO RODRIGUES</t>
  </si>
  <si>
    <t>TIAGO CONCEICAO DA CUNHA</t>
  </si>
  <si>
    <t>ULISSES LUIZ ORUE</t>
  </si>
  <si>
    <t>WALTERLEY MIRANDA DE OLIVEIRA</t>
  </si>
  <si>
    <t>WANDERSON HENRIQUE CECILIO RODRIGUES</t>
  </si>
  <si>
    <t>WELINTON APARECIDO GONZALES DE SOUZA</t>
  </si>
  <si>
    <t>WELINTON MENDES ROCHA</t>
  </si>
  <si>
    <t>WELLINGTON MARTINS</t>
  </si>
  <si>
    <t>WELLITON CUNHA CARDOSO</t>
  </si>
  <si>
    <t>WELLITON RONDON DE OLIVEIRA</t>
  </si>
  <si>
    <t>WENDERLEY FRANCELINO BORGES</t>
  </si>
  <si>
    <t>WILLANIR DA SILVA</t>
  </si>
  <si>
    <t>YAN BRENO SANTHIAGO LEITE</t>
  </si>
  <si>
    <t>BASE FGTS GERAL</t>
  </si>
  <si>
    <t>BASE FGTS 2%</t>
  </si>
  <si>
    <t>BASE FGTS 8%</t>
  </si>
  <si>
    <t>CHAPA</t>
  </si>
  <si>
    <t>FGTS QUITACAO</t>
  </si>
  <si>
    <t>FGTS MES ANTERIOR</t>
  </si>
  <si>
    <t>FGTS AVISO PREVIO</t>
  </si>
  <si>
    <t>FGTS ARTIGO 22</t>
  </si>
  <si>
    <t>FGTS 13 SALARIO INDENIZADO</t>
  </si>
  <si>
    <t>FGTS 13 Sal rescisao</t>
  </si>
  <si>
    <t>MÊS</t>
  </si>
  <si>
    <t>00000667</t>
  </si>
  <si>
    <t>00000674</t>
  </si>
  <si>
    <t>00000615</t>
  </si>
  <si>
    <t>00000778</t>
  </si>
  <si>
    <t>00000554</t>
  </si>
  <si>
    <t>00000673</t>
  </si>
  <si>
    <t>00000665</t>
  </si>
  <si>
    <t>00000718</t>
  </si>
  <si>
    <t>00000478</t>
  </si>
  <si>
    <t>00000650</t>
  </si>
  <si>
    <t>00000756</t>
  </si>
  <si>
    <t>00000719</t>
  </si>
  <si>
    <t>GRRF RECOLHIDA</t>
  </si>
  <si>
    <t>FGTS DIGITAL 8%</t>
  </si>
  <si>
    <t>FGTS DIGITAL 2%</t>
  </si>
  <si>
    <t>GUIA FGTS DIGITAL</t>
  </si>
  <si>
    <t>VENCIMENTO 20/04</t>
  </si>
  <si>
    <t>GRRF PROXIMO MÊS</t>
  </si>
  <si>
    <t>VALOR DA BASE DOS DEMITIDOS ATE DIA 10</t>
  </si>
  <si>
    <t>DESLIGADOS ATE DIA 10</t>
  </si>
  <si>
    <t>...</t>
  </si>
  <si>
    <t>BASE INSS</t>
  </si>
  <si>
    <t>PROLABORE</t>
  </si>
  <si>
    <t>BASE TOTAL FOLHA</t>
  </si>
  <si>
    <t>BASE GERAL FOLHA</t>
  </si>
  <si>
    <t>20% PATRONAL</t>
  </si>
  <si>
    <t>5,8% TERCEIROS</t>
  </si>
  <si>
    <t>RAT AJUSTADO 3x FAP 1,0312</t>
  </si>
  <si>
    <t>VALOR GUIA LANÇAMENTO INSS</t>
  </si>
  <si>
    <t>VALOR SALARIO FAMILIA</t>
  </si>
  <si>
    <t>IRRF FOLHA</t>
  </si>
  <si>
    <t>VALOR GUIA eCAC</t>
  </si>
  <si>
    <t>Nome</t>
  </si>
  <si>
    <t>Governo - Base INSS</t>
  </si>
  <si>
    <t>Governo - Base INSS - 13° Salário</t>
  </si>
  <si>
    <t>Governo - Valor INSS</t>
  </si>
  <si>
    <t>Governo - Valor INSS - 13° Salário</t>
  </si>
  <si>
    <t>ERLON BRUNO DA ONCEICAO ALVES</t>
  </si>
  <si>
    <t>MICHEL KAFURE PAEL</t>
  </si>
  <si>
    <t>Nome Trabalhador</t>
  </si>
  <si>
    <t>Base Remuneracao Total</t>
  </si>
  <si>
    <t>Valor FGTS na Guia</t>
  </si>
  <si>
    <t>CONFERE BASE FGTS</t>
  </si>
  <si>
    <t>CONFERE VALOR FGTS</t>
  </si>
  <si>
    <t>VALOR DA GUIA LANÇAMENTO FGTS</t>
  </si>
  <si>
    <t>ID1140427100000002026040616104700001</t>
  </si>
  <si>
    <t>ID1140427100000002026040616104700000</t>
  </si>
  <si>
    <t>ID1140427100000002026040616104800014</t>
  </si>
  <si>
    <t>ID1140427100000002026040616104700002</t>
  </si>
  <si>
    <t>ID1140427100000002026040616104700003</t>
  </si>
  <si>
    <t>ID1140427100000002026040616104700004</t>
  </si>
  <si>
    <t>ID1140427100000002026040616104700005</t>
  </si>
  <si>
    <t>ID1140427100000002026040616104900015</t>
  </si>
  <si>
    <t>ID1140427100000002026040616104700006</t>
  </si>
  <si>
    <t>ID1140427100000002026040616104800009</t>
  </si>
  <si>
    <t>ID1140427100000002026040616104700007</t>
  </si>
  <si>
    <t>ID1140427100000002026040616105400004</t>
  </si>
  <si>
    <t>ID1140427100000002026040616105100018</t>
  </si>
  <si>
    <t>ID1140427100000002026040616105200011</t>
  </si>
  <si>
    <t>ID1140427100000002026040616104700009</t>
  </si>
  <si>
    <t>ID1140427100000002026040616104800000</t>
  </si>
  <si>
    <t>ID1140427100000002026040616104700008</t>
  </si>
  <si>
    <t>ID1140427100000002026040616104700010</t>
  </si>
  <si>
    <t>ID1140427100000002026040616105000015</t>
  </si>
  <si>
    <t>ID1140427100000002026040616104800001</t>
  </si>
  <si>
    <t>ID1140427100000002026040616104800002</t>
  </si>
  <si>
    <t>ID1140427100000002026040616104900006</t>
  </si>
  <si>
    <t>ID1140427100000002026040616105100001</t>
  </si>
  <si>
    <t>ID1140427100000002026040616104800003</t>
  </si>
  <si>
    <t>ID1140427100000002026040616105300002</t>
  </si>
  <si>
    <t>ID1140427100000002026040616104800005</t>
  </si>
  <si>
    <t>ID1140427100000002026040616104800004</t>
  </si>
  <si>
    <t>ID1140427100000002026040616104800006</t>
  </si>
  <si>
    <t>ID1140427100000002026040616105000016</t>
  </si>
  <si>
    <t>ID1140427100000002026040616104800007</t>
  </si>
  <si>
    <t>ID1140427100000002026040616105300001</t>
  </si>
  <si>
    <t>ID1140427100000002026040616104800008</t>
  </si>
  <si>
    <t>ID1140427100000002026040616105300008</t>
  </si>
  <si>
    <t>ID1140427100000002026040616105000005</t>
  </si>
  <si>
    <t>ID1140427100000002026040616104800010</t>
  </si>
  <si>
    <t>ID1140427100000002026040616104800011</t>
  </si>
  <si>
    <t>ID1140427100000002026040616104800012</t>
  </si>
  <si>
    <t>ID1140427100000002026040616104800013</t>
  </si>
  <si>
    <t>ID1140427100000002026040616104800015</t>
  </si>
  <si>
    <t>ID1140427100000002026040616105200013</t>
  </si>
  <si>
    <t>ID1140427100000002026040616105100012</t>
  </si>
  <si>
    <t>ID1140427100000002026040616104800016</t>
  </si>
  <si>
    <t>ID1140427100000002026040616104800017</t>
  </si>
  <si>
    <t>ID1140427100000002026040616104900000</t>
  </si>
  <si>
    <t>ID1140427100000002026040616104900001</t>
  </si>
  <si>
    <t>ID1140427100000002026040616104900002</t>
  </si>
  <si>
    <t>ID1140427100000002026040616104900003</t>
  </si>
  <si>
    <t>ID1140427100000002026040616104900004</t>
  </si>
  <si>
    <t>ID1140427100000002026040616104900005</t>
  </si>
  <si>
    <t>ID1140427100000002026040616104900007</t>
  </si>
  <si>
    <t>ID1140427100000002026040616104900008</t>
  </si>
  <si>
    <t>ID1140427100000002026040616104900009</t>
  </si>
  <si>
    <t>ID1140427100000002026040616104900010</t>
  </si>
  <si>
    <t>ID1140427100000002026040616104900011</t>
  </si>
  <si>
    <t>ID1140427100000002026040616104900012</t>
  </si>
  <si>
    <t>ID1140427100000002026040616104900013</t>
  </si>
  <si>
    <t>ID1140427100000002026040616104900014</t>
  </si>
  <si>
    <t>ID1140427100000002026040616105000000</t>
  </si>
  <si>
    <t>ID1140427100000002026040616105000001</t>
  </si>
  <si>
    <t>ID1140427100000002026040616105000003</t>
  </si>
  <si>
    <t>ID1140427100000002026040616105000002</t>
  </si>
  <si>
    <t>ID1140427100000002026040616105000004</t>
  </si>
  <si>
    <t>ID1140427100000002026040616105000006</t>
  </si>
  <si>
    <t>ID1140427100000002026040616105000007</t>
  </si>
  <si>
    <t>ID1140427100000002026040616105000008</t>
  </si>
  <si>
    <t>ID1140427100000002026040616105200017</t>
  </si>
  <si>
    <t>ID1140427100000002026040616105100011</t>
  </si>
  <si>
    <t>ID1140427100000002026040616105000013</t>
  </si>
  <si>
    <t>ID1140427100000002026040616105000009</t>
  </si>
  <si>
    <t>ID1140427100000002026040616105000012</t>
  </si>
  <si>
    <t>ID1140427100000002026040616105000014</t>
  </si>
  <si>
    <t>ID1140427100000002026040616105000010</t>
  </si>
  <si>
    <t>ID1140427100000002026040616105000011</t>
  </si>
  <si>
    <t>ID1140427100000002026040616105100000</t>
  </si>
  <si>
    <t>ID1140427100000002026040616105100003</t>
  </si>
  <si>
    <t>ID1140427100000002026040616105100002</t>
  </si>
  <si>
    <t>ID1140427100000002026040616105100004</t>
  </si>
  <si>
    <t>ID1140427100000002026040616105100005</t>
  </si>
  <si>
    <t>ID1140427100000002026040616105100006</t>
  </si>
  <si>
    <t>ID1140427100000002026040616105100007</t>
  </si>
  <si>
    <t>ID1140427100000002026040616105100008</t>
  </si>
  <si>
    <t>ID1140427100000002026040616105100010</t>
  </si>
  <si>
    <t>ID1140427100000002026040616105100009</t>
  </si>
  <si>
    <t>ID1140427100000002026040616105100013</t>
  </si>
  <si>
    <t>ID1140427100000002026040616105100014</t>
  </si>
  <si>
    <t>ID1140427100000002026040616105100015</t>
  </si>
  <si>
    <t>ID1140427100000002026040616105100016</t>
  </si>
  <si>
    <t>ID1140427100000002026040616105100017</t>
  </si>
  <si>
    <t>ID1140427100000002026040616105200000</t>
  </si>
  <si>
    <t>ID1140427100000002026040616105200001</t>
  </si>
  <si>
    <t>ID1140427100000002026040616105200002</t>
  </si>
  <si>
    <t>ID1140427100000002026040616105200003</t>
  </si>
  <si>
    <t>ID1140427100000002026040616105200004</t>
  </si>
  <si>
    <t>ID1140427100000002026040616105200006</t>
  </si>
  <si>
    <t>ID1140427100000002026040616105200005</t>
  </si>
  <si>
    <t>ID1140427100000002026040616105200007</t>
  </si>
  <si>
    <t>ID1140427100000002026040616105200008</t>
  </si>
  <si>
    <t>ID1140427100000002026040616105200009</t>
  </si>
  <si>
    <t>ID1140427100000002026040616105200010</t>
  </si>
  <si>
    <t>ID1140427100000002026040616105200012</t>
  </si>
  <si>
    <t>ID1140427100000002026040616105200014</t>
  </si>
  <si>
    <t>ID1140427100000002026040616105500000</t>
  </si>
  <si>
    <t>ID1140427100000002026040616105200015</t>
  </si>
  <si>
    <t>ID1140427100000002026040616105200016</t>
  </si>
  <si>
    <t>ID1140427100000002026040616105300000</t>
  </si>
  <si>
    <t>ID1140427100000002026040616105300005</t>
  </si>
  <si>
    <t>ID1140427100000002026040616105300006</t>
  </si>
  <si>
    <t>ID1140427100000002026040616105300007</t>
  </si>
  <si>
    <t>ID1140427100000002026040616105300004</t>
  </si>
  <si>
    <t>ID1140427100000002026040616105300003</t>
  </si>
  <si>
    <t>ID1140427100000002026040616105300010</t>
  </si>
  <si>
    <t>ID1140427100000002026040616105300009</t>
  </si>
  <si>
    <t>ID1140427100000002026040616105300013</t>
  </si>
  <si>
    <t>ID1140427100000002026040616105300012</t>
  </si>
  <si>
    <t>ID1140427100000002026040616105300011</t>
  </si>
  <si>
    <t>ID1140427100000002026040616105300014</t>
  </si>
  <si>
    <t>ID1140427100000002026040616105300015</t>
  </si>
  <si>
    <t>ID1140427100000002026040616105300016</t>
  </si>
  <si>
    <t>ID1140427100000002026040616105300017</t>
  </si>
  <si>
    <t>ID1140427100000002026040616105300018</t>
  </si>
  <si>
    <t>ID1140427100000002026040616105400000</t>
  </si>
  <si>
    <t>ID1140427100000002026040616105400002</t>
  </si>
  <si>
    <t>ID1140427100000002026040616105400001</t>
  </si>
  <si>
    <t>ID1140427100000002026040616105300019</t>
  </si>
  <si>
    <t>ID1140427100000002026040616105400003</t>
  </si>
  <si>
    <t>ID1140427100000002026040616105400010</t>
  </si>
  <si>
    <t>ID1140427100000002026040616105400005</t>
  </si>
  <si>
    <t>ID1140427100000002026040616105400006</t>
  </si>
  <si>
    <t>ID1140427100000002026040616105400009</t>
  </si>
  <si>
    <t>ID1140427100000002026040616105400007</t>
  </si>
  <si>
    <t>ID1140427100000002026040616105400008</t>
  </si>
  <si>
    <t>ID1140427100000002026040616105400012</t>
  </si>
  <si>
    <t>ID1140427100000002026040616105400011</t>
  </si>
  <si>
    <t>ID1140427100000002026040616105400013</t>
  </si>
  <si>
    <t>ID1140427100000002026040616105400014</t>
  </si>
  <si>
    <t>ID1140427100000002026040616105400015</t>
  </si>
  <si>
    <t>ID1140427100000002026040616105400016</t>
  </si>
  <si>
    <t>Contribuições Sociais do Contribuinte</t>
  </si>
  <si>
    <t>Filtro de pesquisa</t>
  </si>
  <si>
    <t>Período de Apuração:</t>
  </si>
  <si>
    <t>Número do Recibo do evento de origem:</t>
  </si>
  <si>
    <t>Razão Social</t>
  </si>
  <si>
    <t>Classificação Tributária</t>
  </si>
  <si>
    <t>Informações Complementares</t>
  </si>
  <si>
    <t>Indicativo de Cooperativa</t>
  </si>
  <si>
    <t>Indicativo de Construtora</t>
  </si>
  <si>
    <t>Indicativo de Substituição da Contribuição Previdenciária Patronal</t>
  </si>
  <si>
    <t>Indicador de tributação sobre a folha de pagamento - PIS e PASEP</t>
  </si>
  <si>
    <t>Sim Não</t>
  </si>
  <si>
    <t>Percentual não substituído pela CPRB</t>
  </si>
  <si>
    <t>Percentual de contribuição social</t>
  </si>
  <si>
    <t>Resumo da Folha de Pagamento</t>
  </si>
  <si>
    <t>Bases de Cálculo</t>
  </si>
  <si>
    <t>Valor</t>
  </si>
  <si>
    <t>11 - Base de cálculo da contribuição previdenciária</t>
  </si>
  <si>
    <t>Contribuições do Segurado</t>
  </si>
  <si>
    <t>Valor Descontado</t>
  </si>
  <si>
    <t>Valor Calculado</t>
  </si>
  <si>
    <t>Valor total da contribuição</t>
  </si>
  <si>
    <t>Deduções</t>
  </si>
  <si>
    <t>Valor total do salário-família</t>
  </si>
  <si>
    <t>Estabelecimento 14.042.710/0001-99</t>
  </si>
  <si>
    <t>Informações consolidadas das contribuições sociais</t>
  </si>
  <si>
    <t>Codigo Receita</t>
  </si>
  <si>
    <t>Valor Suspenso</t>
  </si>
  <si>
    <t>1082-01 - CP SEGURADOS - EMPREGADOS/AVULSOS</t>
  </si>
  <si>
    <t>-</t>
  </si>
  <si>
    <t>1099-01 - CP SEGURADOS - CONTRIBUINTES INDIVIDUAIS - 11%</t>
  </si>
  <si>
    <t>1138-01 - CP PATRONAL - EMPREGADOS/AVULSOS</t>
  </si>
  <si>
    <t>1138-04 - CP PATRONAL - CONTRIBUINTES INDIVIDUAIS</t>
  </si>
  <si>
    <t>1170-01 - CP TERCEIROS - SALÁRIO EDUCAÇÃO</t>
  </si>
  <si>
    <t>1176-01 - CP TERCEIROS - INCRA</t>
  </si>
  <si>
    <t>1181-01 - CP TERCEIROS - SENAI</t>
  </si>
  <si>
    <t>1184-01 - CP TERCEIROS - SESI</t>
  </si>
  <si>
    <t>1200-01 - CP TERCEIROS - SEBRAE</t>
  </si>
  <si>
    <t>1646-01 - CP PATRONAL - GILRAT AJUSTADO</t>
  </si>
  <si>
    <t>DÉBITOS APURADOS</t>
  </si>
  <si>
    <t>CRÉDITOS VINCULADOS</t>
  </si>
  <si>
    <t>SALDO A PAGAR</t>
  </si>
  <si>
    <t>Tributos/Códigos de Receita</t>
  </si>
  <si>
    <t>PA Débito</t>
  </si>
  <si>
    <t>Débito Apurado</t>
  </si>
  <si>
    <t>Salário-Família</t>
  </si>
  <si>
    <t>Total Apurado Empresa 14.042.710/0001-99</t>
  </si>
  <si>
    <t>Total CONTRIBUIÇÃO PREVIDENCIÁRIA SEGURADOS</t>
  </si>
  <si>
    <t>1082-01 CP SEGURADOS - EMPREGADOS/AVULSO</t>
  </si>
  <si>
    <t>1099-01 CP SEGURADOS - CONTRIBUINTES INDIVIDUAIS - 11%</t>
  </si>
  <si>
    <t>Total CONTRIBUIÇÃO PREVIDENCIÁRIA PATRONAL</t>
  </si>
  <si>
    <t>1138-01 CP PATRONAL - EMPREGADOS/AVULSOS</t>
  </si>
  <si>
    <t>1138-04 CP PATRONAL - CONTRIBUINTES INDIVIDUAIS</t>
  </si>
  <si>
    <t>1646-01 CP PATRONAL - GILRAT AJUSTADO</t>
  </si>
  <si>
    <t>Total CONTRIBUIÇÃO PARA OUTRAS ENTIDADES E FUNDOS</t>
  </si>
  <si>
    <t>1170-01 CP TERCEIROS - SALÁRIO EDUCAÇÃO</t>
  </si>
  <si>
    <t>1176-01 CP TERCEIROS - INCRA</t>
  </si>
  <si>
    <t>1181-01 CP TERCEIROS - SENAI</t>
  </si>
  <si>
    <t>1184-01 CP TERCEIROS - SESI</t>
  </si>
  <si>
    <t>1200-01 CP TERCEIROS - SEBRAE</t>
  </si>
  <si>
    <t>Total IRRF</t>
  </si>
  <si>
    <t>0561-07 IRRF - RD TRB ASSAL PAÍS/AUS NO EXT A SERV PAÍS</t>
  </si>
  <si>
    <t>Arnaldo Salles Guimaraes</t>
  </si>
  <si>
    <t>Daglos Loveira Vaz</t>
  </si>
  <si>
    <t>Evaldo Benedito Constantino</t>
  </si>
  <si>
    <t>Fabio Velasquez Galeano</t>
  </si>
  <si>
    <t>Flavio Carlos de Souza Ortega</t>
  </si>
  <si>
    <t>Geferson Escot Ataide Thomaz</t>
  </si>
  <si>
    <t>Jairo Ibanes</t>
  </si>
  <si>
    <t>Joao Lucas da Silva Firmo</t>
  </si>
  <si>
    <t xml:space="preserve">Joao Vitor de Arruda dos Santos </t>
  </si>
  <si>
    <t>Jonas Cardoso de Almeida</t>
  </si>
  <si>
    <t xml:space="preserve">Jose Antunes de Abreu Neto </t>
  </si>
  <si>
    <t>Jose Carlos Gimenez Aquino</t>
  </si>
  <si>
    <t>Jose Junior Vieira da Silva</t>
  </si>
  <si>
    <t>Luciano Farias Ribeiro</t>
  </si>
  <si>
    <t>Luiz Pedro dos Santos</t>
  </si>
  <si>
    <t>Marcos Goncalves Pereira</t>
  </si>
  <si>
    <t>Marcos Marciel da Silva</t>
  </si>
  <si>
    <t>Nilson Bernal da Silva</t>
  </si>
  <si>
    <t>Reginaldo da Silva Saltiva</t>
  </si>
  <si>
    <t>Temistocles Candido Rodrigues</t>
  </si>
  <si>
    <t>Ulisses Luiz Orue</t>
  </si>
  <si>
    <t>Wellington Martins</t>
  </si>
  <si>
    <t>Willanir da Silva</t>
  </si>
  <si>
    <t>Aloir de Souza Viana</t>
  </si>
  <si>
    <t>Daniel Gonzaga Souza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</si>
</sst>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[$R$-416]\ #,##0.00;\-[$R$-416]\ #,##0.00;[$R$-416]\ #,##0.00;@"/>
    <numFmt numFmtId="165" formatCode="[$R$-416]\ #,##0.00;\-[$R$-416]\ #,##0.00"/>
  </numFmts>
  <fonts count="23">
    <font>
      <sz val="11"/>
      <color theme="1"/>
      <name val="Calibri"/>
      <family val="2"/>
      <scheme val="minor"/>
    </font>
    <font>
      <sz val="8.25"/>
      <color rgb="FF000000"/>
      <name val="Tahoma"/>
    </font>
    <font>
      <b/>
      <sz val="11"/>
      <color theme="1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  <font>
      <sz val="11"/>
      <color theme="1"/>
      <name val="Calibri"/>
      <family val="2"/>
      <scheme val="minor"/>
    </font>
    <font>
      <sz val="8.25"/>
      <color rgb="FF282828"/>
      <name val="Tahoma"/>
      <family val="2"/>
    </font>
    <font>
      <b/>
      <sz val="8.25"/>
      <color rgb="FF282828"/>
      <name val="Tahoma"/>
      <family val="2"/>
    </font>
    <font>
      <b/>
      <sz val="11"/>
      <color rgb="FFFF0000"/>
      <name val="Calibri"/>
      <family val="2"/>
      <scheme val="minor"/>
    </font>
    <font>
      <sz val="8.25"/>
      <color rgb="FF282828"/>
      <name val="Tahoma"/>
    </font>
    <font>
      <b/>
      <sz val="10"/>
      <color indexed="9"/>
      <name val="Calibri"/>
      <family val="2"/>
    </font>
    <font>
      <b/>
      <sz val="8"/>
      <color theme="1"/>
      <name val="Arial"/>
      <family val="2"/>
    </font>
    <font>
      <sz val="10"/>
      <color rgb="FF759778"/>
      <name val="Arial"/>
      <family val="2"/>
    </font>
    <font>
      <sz val="7"/>
      <color rgb="FF416D96"/>
      <name val="Arial"/>
      <family val="2"/>
    </font>
    <font>
      <sz val="10"/>
      <color rgb="FF616D85"/>
      <name val="Arial"/>
      <family val="2"/>
    </font>
    <font>
      <sz val="10"/>
      <color rgb="FF616D85"/>
      <name val="Inherit"/>
    </font>
    <font>
      <sz val="11"/>
      <color rgb="FF666666"/>
      <name val="Arial"/>
      <family val="2"/>
    </font>
    <font>
      <sz val="11"/>
      <color rgb="FF4F8359"/>
      <name val="Arial"/>
      <family val="2"/>
    </font>
    <font>
      <b/>
      <sz val="7"/>
      <color rgb="FFFFFFFF"/>
      <name val="Ubuntu"/>
    </font>
    <font>
      <sz val="7"/>
      <color rgb="FFFFFFFF"/>
      <name val="Ubuntu"/>
    </font>
    <font>
      <sz val="11"/>
      <color theme="1"/>
      <name val="Ubuntu"/>
    </font>
    <font>
      <sz val="6"/>
      <color theme="1"/>
      <name val="Ubuntu"/>
    </font>
    <font>
      <sz val="7"/>
      <color rgb="FF6C6C6C"/>
      <name val="Ubuntu"/>
    </font>
  </fonts>
  <fills count="2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D7EADD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E2D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B17ED8"/>
        <bgColor indexed="64"/>
      </patternFill>
    </fill>
    <fill>
      <patternFill patternType="solid">
        <fgColor rgb="FF34A6C1"/>
        <bgColor indexed="64"/>
      </patternFill>
    </fill>
    <fill>
      <patternFill patternType="solid">
        <fgColor rgb="FFE5F3F6"/>
        <bgColor indexed="64"/>
      </patternFill>
    </fill>
    <fill>
      <patternFill patternType="solid">
        <fgColor rgb="FF3E87AA"/>
        <bgColor indexed="64"/>
      </patternFill>
    </fill>
    <fill>
      <patternFill patternType="solid">
        <fgColor rgb="FF91B5C5"/>
        <bgColor indexed="64"/>
      </patternFill>
    </fill>
    <fill>
      <patternFill patternType="solid">
        <fgColor rgb="FFE7E5E6"/>
        <bgColor indexed="64"/>
      </patternFill>
    </fill>
    <fill>
      <patternFill patternType="solid">
        <fgColor rgb="FFF2F4F3"/>
        <bgColor indexed="64"/>
      </patternFill>
    </fill>
  </fills>
  <borders count="41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rgb="FF808080"/>
      </right>
      <top style="thin">
        <color rgb="FFA0A0A0"/>
      </top>
      <bottom style="thin">
        <color rgb="FFA0A0A0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/>
      <right style="thin">
        <color rgb="FF4F81BD"/>
      </right>
      <top/>
      <bottom/>
      <diagonal/>
    </border>
    <border>
      <left/>
      <right/>
      <top/>
      <bottom style="medium">
        <color rgb="FFBAC6DE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E5F3F6"/>
      </left>
      <right style="medium">
        <color rgb="FFE5F3F6"/>
      </right>
      <top style="medium">
        <color rgb="FFDDDDDD"/>
      </top>
      <bottom style="medium">
        <color rgb="FFE5F3F6"/>
      </bottom>
      <diagonal/>
    </border>
    <border>
      <left style="medium">
        <color rgb="FFE5F3F6"/>
      </left>
      <right/>
      <top style="medium">
        <color rgb="FFDDDDDD"/>
      </top>
      <bottom style="medium">
        <color rgb="FFE5F3F6"/>
      </bottom>
      <diagonal/>
    </border>
    <border>
      <left/>
      <right style="medium">
        <color rgb="FFE5F3F6"/>
      </right>
      <top style="medium">
        <color rgb="FFDDDDDD"/>
      </top>
      <bottom style="medium">
        <color rgb="FFE5F3F6"/>
      </bottom>
      <diagonal/>
    </border>
    <border>
      <left style="medium">
        <color rgb="FFE5F3F6"/>
      </left>
      <right style="medium">
        <color rgb="FFE5F3F6"/>
      </right>
      <top style="medium">
        <color rgb="FFDDDDDD"/>
      </top>
      <bottom/>
      <diagonal/>
    </border>
    <border>
      <left style="medium">
        <color rgb="FFE5F3F6"/>
      </left>
      <right style="medium">
        <color rgb="FFE5F3F6"/>
      </right>
      <top/>
      <bottom/>
      <diagonal/>
    </border>
    <border>
      <left style="medium">
        <color rgb="FFE5F3F6"/>
      </left>
      <right/>
      <top style="medium">
        <color rgb="FFDDDDDD"/>
      </top>
      <bottom/>
      <diagonal/>
    </border>
    <border>
      <left/>
      <right style="medium">
        <color rgb="FFE5F3F6"/>
      </right>
      <top style="medium">
        <color rgb="FFDDDDDD"/>
      </top>
      <bottom/>
      <diagonal/>
    </border>
    <border>
      <left style="medium">
        <color rgb="FFE5F3F6"/>
      </left>
      <right style="medium">
        <color rgb="FFE5F3F6"/>
      </right>
      <top style="medium">
        <color rgb="FFE5F3F6"/>
      </top>
      <bottom style="medium">
        <color rgb="FFE5F3F6"/>
      </bottom>
      <diagonal/>
    </border>
    <border>
      <left style="medium">
        <color rgb="FFE5F3F6"/>
      </left>
      <right style="medium">
        <color rgb="FFE5F3F6"/>
      </right>
      <top style="medium">
        <color rgb="FFE5F3F6"/>
      </top>
      <bottom/>
      <diagonal/>
    </border>
    <border>
      <left/>
      <right/>
      <top style="medium">
        <color rgb="FFE5F3F6"/>
      </top>
      <bottom/>
      <diagonal/>
    </border>
    <border>
      <left/>
      <right style="medium">
        <color rgb="FFE5F3F6"/>
      </right>
      <top style="medium">
        <color rgb="FFE5F3F6"/>
      </top>
      <bottom/>
      <diagonal/>
    </border>
    <border>
      <left style="medium">
        <color rgb="FFE5F3F6"/>
      </left>
      <right/>
      <top style="medium">
        <color rgb="FFE5F3F6"/>
      </top>
      <bottom style="medium">
        <color rgb="FFDDDDDD"/>
      </bottom>
      <diagonal/>
    </border>
    <border>
      <left/>
      <right/>
      <top style="medium">
        <color rgb="FFE5F3F6"/>
      </top>
      <bottom style="medium">
        <color rgb="FFDDDDDD"/>
      </bottom>
      <diagonal/>
    </border>
    <border>
      <left/>
      <right style="medium">
        <color rgb="FFE5F3F6"/>
      </right>
      <top style="medium">
        <color rgb="FFE5F3F6"/>
      </top>
      <bottom style="medium">
        <color rgb="FFDDDDDD"/>
      </bottom>
      <diagonal/>
    </border>
    <border>
      <left style="medium">
        <color rgb="FFE5F3F6"/>
      </left>
      <right style="medium">
        <color rgb="FFE5F3F6"/>
      </right>
      <top/>
      <bottom style="medium">
        <color rgb="FFDDDDDD"/>
      </bottom>
      <diagonal/>
    </border>
    <border>
      <left style="medium">
        <color rgb="FFE5F3F6"/>
      </left>
      <right/>
      <top/>
      <bottom style="medium">
        <color rgb="FFDDDDDD"/>
      </bottom>
      <diagonal/>
    </border>
    <border>
      <left/>
      <right style="medium">
        <color rgb="FFE5F3F6"/>
      </right>
      <top/>
      <bottom style="medium">
        <color rgb="FFDDDDDD"/>
      </bottom>
      <diagonal/>
    </border>
    <border>
      <left style="medium">
        <color rgb="FFE5F3F6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E5F3F6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51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9" fontId="1" fillId="2" borderId="1" xfId="0" applyNumberFormat="1" applyFont="1" applyFill="1" applyBorder="1" applyAlignment="1">
      <alignment horizontal="left" vertical="top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vertical="top" readingOrder="1"/>
    </xf>
    <xf numFmtId="164" fontId="1" fillId="3" borderId="2" xfId="0" applyNumberFormat="1" applyFont="1" applyFill="1" applyBorder="1" applyAlignment="1">
      <alignment vertical="center" readingOrder="1"/>
    </xf>
    <xf numFmtId="164" fontId="3" fillId="3" borderId="2" xfId="0" applyNumberFormat="1" applyFont="1" applyFill="1" applyBorder="1" applyAlignment="1">
      <alignment vertical="center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0" fontId="2" fillId="0" borderId="0" xfId="0" applyFont="1"/>
    <xf numFmtId="164" fontId="3" fillId="3" borderId="1" xfId="0" applyNumberFormat="1" applyFont="1" applyFill="1" applyBorder="1" applyAlignment="1">
      <alignment vertical="center" readingOrder="1"/>
    </xf>
    <xf numFmtId="164" fontId="1" fillId="3" borderId="1" xfId="0" applyNumberFormat="1" applyFont="1" applyFill="1" applyBorder="1" applyAlignment="1">
      <alignment vertical="center" readingOrder="1"/>
    </xf>
    <xf numFmtId="49" fontId="4" fillId="2" borderId="0" xfId="0" applyNumberFormat="1" applyFont="1" applyFill="1" applyAlignment="1">
      <alignment horizontal="left" vertical="top" readingOrder="1"/>
    </xf>
    <xf numFmtId="49" fontId="3" fillId="2" borderId="0" xfId="0" applyNumberFormat="1" applyFont="1" applyFill="1" applyAlignment="1">
      <alignment horizontal="right" vertical="top" readingOrder="1"/>
    </xf>
    <xf numFmtId="165" fontId="0" fillId="0" borderId="0" xfId="0" applyNumberFormat="1"/>
    <xf numFmtId="165" fontId="0" fillId="4" borderId="0" xfId="0" applyNumberFormat="1" applyFill="1"/>
    <xf numFmtId="49" fontId="4" fillId="2" borderId="3" xfId="0" applyNumberFormat="1" applyFont="1" applyFill="1" applyBorder="1" applyAlignment="1">
      <alignment horizontal="left" vertical="center" readingOrder="1"/>
    </xf>
    <xf numFmtId="49" fontId="4" fillId="2" borderId="4" xfId="0" applyNumberFormat="1" applyFont="1" applyFill="1" applyBorder="1" applyAlignment="1">
      <alignment horizontal="left" vertical="center" readingOrder="1"/>
    </xf>
    <xf numFmtId="164" fontId="6" fillId="3" borderId="3" xfId="0" applyNumberFormat="1" applyFont="1" applyFill="1" applyBorder="1" applyAlignment="1">
      <alignment horizontal="right" vertical="center" readingOrder="1"/>
    </xf>
    <xf numFmtId="164" fontId="6" fillId="5" borderId="3" xfId="0" applyNumberFormat="1" applyFont="1" applyFill="1" applyBorder="1" applyAlignment="1">
      <alignment horizontal="right" vertical="center" readingOrder="1"/>
    </xf>
    <xf numFmtId="164" fontId="7" fillId="5" borderId="3" xfId="0" applyNumberFormat="1" applyFont="1" applyFill="1" applyBorder="1" applyAlignment="1">
      <alignment horizontal="right" vertical="center" readingOrder="1"/>
    </xf>
    <xf numFmtId="165" fontId="2" fillId="0" borderId="0" xfId="0" applyNumberFormat="1" applyFont="1"/>
    <xf numFmtId="49" fontId="1" fillId="6" borderId="1" xfId="0" applyNumberFormat="1" applyFont="1" applyFill="1" applyBorder="1" applyAlignment="1">
      <alignment horizontal="left" vertical="top" readingOrder="1"/>
    </xf>
    <xf numFmtId="164" fontId="1" fillId="6" borderId="2" xfId="0" applyNumberFormat="1" applyFont="1" applyFill="1" applyBorder="1" applyAlignment="1">
      <alignment vertical="center" readingOrder="1"/>
    </xf>
    <xf numFmtId="164" fontId="1" fillId="6" borderId="1" xfId="0" applyNumberFormat="1" applyFont="1" applyFill="1" applyBorder="1" applyAlignment="1">
      <alignment horizontal="right" vertical="center" readingOrder="1"/>
    </xf>
    <xf numFmtId="164" fontId="1" fillId="6" borderId="1" xfId="0" applyNumberFormat="1" applyFont="1" applyFill="1" applyBorder="1" applyAlignment="1">
      <alignment vertical="center" readingOrder="1"/>
    </xf>
    <xf numFmtId="0" fontId="0" fillId="6" borderId="0" xfId="0" applyFill="1"/>
    <xf numFmtId="44" fontId="0" fillId="0" borderId="0" xfId="1" applyFont="1"/>
    <xf numFmtId="44" fontId="2" fillId="0" borderId="0" xfId="1" applyFont="1"/>
    <xf numFmtId="0" fontId="0" fillId="0" borderId="6" xfId="0" applyBorder="1"/>
    <xf numFmtId="0" fontId="0" fillId="0" borderId="10" xfId="0" applyBorder="1"/>
    <xf numFmtId="0" fontId="0" fillId="7" borderId="6" xfId="0" applyFill="1" applyBorder="1"/>
    <xf numFmtId="0" fontId="0" fillId="7" borderId="8" xfId="0" applyFill="1" applyBorder="1"/>
    <xf numFmtId="0" fontId="0" fillId="7" borderId="7" xfId="0" applyFill="1" applyBorder="1"/>
    <xf numFmtId="44" fontId="2" fillId="7" borderId="9" xfId="1" applyFont="1" applyFill="1" applyBorder="1"/>
    <xf numFmtId="0" fontId="0" fillId="7" borderId="10" xfId="0" applyFill="1" applyBorder="1"/>
    <xf numFmtId="44" fontId="0" fillId="7" borderId="7" xfId="1" applyFont="1" applyFill="1" applyBorder="1"/>
    <xf numFmtId="44" fontId="0" fillId="7" borderId="5" xfId="1" applyFont="1" applyFill="1" applyBorder="1"/>
    <xf numFmtId="0" fontId="0" fillId="0" borderId="5" xfId="0" applyBorder="1"/>
    <xf numFmtId="0" fontId="0" fillId="0" borderId="11" xfId="0" applyBorder="1"/>
    <xf numFmtId="0" fontId="0" fillId="0" borderId="9" xfId="0" applyBorder="1"/>
    <xf numFmtId="0" fontId="0" fillId="0" borderId="12" xfId="0" applyBorder="1"/>
    <xf numFmtId="44" fontId="8" fillId="0" borderId="0" xfId="1" applyFont="1"/>
    <xf numFmtId="44" fontId="0" fillId="4" borderId="0" xfId="1" applyFont="1" applyFill="1"/>
    <xf numFmtId="44" fontId="0" fillId="6" borderId="0" xfId="1" applyFont="1" applyFill="1"/>
    <xf numFmtId="164" fontId="0" fillId="0" borderId="0" xfId="0" applyNumberFormat="1"/>
    <xf numFmtId="0" fontId="0" fillId="0" borderId="0" xfId="1" applyNumberFormat="1" applyFont="1"/>
    <xf numFmtId="0" fontId="2" fillId="0" borderId="0" xfId="1" applyNumberFormat="1" applyFont="1"/>
    <xf numFmtId="44" fontId="0" fillId="0" borderId="0" xfId="0" applyNumberFormat="1"/>
    <xf numFmtId="44" fontId="2" fillId="0" borderId="0" xfId="0" applyNumberFormat="1" applyFont="1"/>
    <xf numFmtId="164" fontId="0" fillId="4" borderId="0" xfId="0" applyNumberFormat="1" applyFill="1"/>
    <xf numFmtId="164" fontId="0" fillId="6" borderId="0" xfId="0" applyNumberFormat="1" applyFill="1"/>
    <xf numFmtId="164" fontId="0" fillId="8" borderId="0" xfId="0" applyNumberFormat="1" applyFill="1"/>
    <xf numFmtId="44" fontId="0" fillId="8" borderId="0" xfId="1" applyFont="1" applyFill="1"/>
    <xf numFmtId="164" fontId="0" fillId="9" borderId="0" xfId="0" applyNumberFormat="1" applyFill="1"/>
    <xf numFmtId="44" fontId="2" fillId="10" borderId="0" xfId="1" applyFont="1" applyFill="1"/>
    <xf numFmtId="49" fontId="3" fillId="2" borderId="0" xfId="0" applyNumberFormat="1" applyFont="1" applyFill="1" applyAlignment="1">
      <alignment horizontal="left" vertical="top" readingOrder="1"/>
    </xf>
    <xf numFmtId="164" fontId="3" fillId="3" borderId="0" xfId="0" applyNumberFormat="1" applyFont="1" applyFill="1" applyAlignment="1">
      <alignment vertical="center" readingOrder="1"/>
    </xf>
    <xf numFmtId="164" fontId="3" fillId="3" borderId="0" xfId="0" applyNumberFormat="1" applyFont="1" applyFill="1" applyAlignment="1">
      <alignment horizontal="right" vertical="center" readingOrder="1"/>
    </xf>
    <xf numFmtId="0" fontId="10" fillId="11" borderId="14" xfId="0" applyFont="1" applyFill="1" applyBorder="1" applyAlignment="1">
      <alignment horizontal="center"/>
    </xf>
    <xf numFmtId="0" fontId="0" fillId="12" borderId="15" xfId="0" applyFill="1" applyBorder="1" applyAlignment="1">
      <alignment horizontal="left"/>
    </xf>
    <xf numFmtId="44" fontId="0" fillId="12" borderId="15" xfId="0" applyNumberFormat="1" applyFill="1" applyBorder="1" applyAlignment="1">
      <alignment horizontal="left"/>
    </xf>
    <xf numFmtId="0" fontId="0" fillId="12" borderId="16" xfId="0" applyFill="1" applyBorder="1" applyAlignment="1">
      <alignment horizontal="left"/>
    </xf>
    <xf numFmtId="44" fontId="0" fillId="12" borderId="16" xfId="0" applyNumberFormat="1" applyFill="1" applyBorder="1" applyAlignment="1">
      <alignment horizontal="left"/>
    </xf>
    <xf numFmtId="0" fontId="0" fillId="13" borderId="15" xfId="0" applyFill="1" applyBorder="1" applyAlignment="1">
      <alignment horizontal="left"/>
    </xf>
    <xf numFmtId="44" fontId="0" fillId="13" borderId="15" xfId="0" applyNumberFormat="1" applyFill="1" applyBorder="1" applyAlignment="1">
      <alignment horizontal="left"/>
    </xf>
    <xf numFmtId="0" fontId="0" fillId="13" borderId="16" xfId="0" applyFill="1" applyBorder="1" applyAlignment="1">
      <alignment horizontal="left"/>
    </xf>
    <xf numFmtId="44" fontId="0" fillId="13" borderId="16" xfId="0" applyNumberFormat="1" applyFill="1" applyBorder="1" applyAlignment="1">
      <alignment horizontal="left"/>
    </xf>
    <xf numFmtId="0" fontId="0" fillId="13" borderId="0" xfId="0" applyFill="1" applyAlignment="1">
      <alignment horizontal="left"/>
    </xf>
    <xf numFmtId="44" fontId="0" fillId="13" borderId="0" xfId="0" applyNumberFormat="1" applyFill="1" applyAlignment="1">
      <alignment horizontal="left"/>
    </xf>
    <xf numFmtId="44" fontId="0" fillId="12" borderId="0" xfId="0" applyNumberFormat="1" applyFill="1" applyAlignment="1">
      <alignment horizontal="left"/>
    </xf>
    <xf numFmtId="4" fontId="0" fillId="0" borderId="0" xfId="0" applyNumberFormat="1"/>
    <xf numFmtId="49" fontId="1" fillId="10" borderId="1" xfId="0" applyNumberFormat="1" applyFont="1" applyFill="1" applyBorder="1" applyAlignment="1">
      <alignment horizontal="left" vertical="top" readingOrder="1"/>
    </xf>
    <xf numFmtId="164" fontId="1" fillId="10" borderId="2" xfId="0" applyNumberFormat="1" applyFont="1" applyFill="1" applyBorder="1" applyAlignment="1">
      <alignment vertical="center" readingOrder="1"/>
    </xf>
    <xf numFmtId="164" fontId="1" fillId="10" borderId="1" xfId="0" applyNumberFormat="1" applyFont="1" applyFill="1" applyBorder="1" applyAlignment="1">
      <alignment horizontal="right" vertical="center" readingOrder="1"/>
    </xf>
    <xf numFmtId="164" fontId="1" fillId="10" borderId="1" xfId="0" applyNumberFormat="1" applyFont="1" applyFill="1" applyBorder="1" applyAlignment="1">
      <alignment vertical="center" readingOrder="1"/>
    </xf>
    <xf numFmtId="164" fontId="9" fillId="10" borderId="3" xfId="0" applyNumberFormat="1" applyFont="1" applyFill="1" applyBorder="1" applyAlignment="1">
      <alignment horizontal="right" vertical="center" readingOrder="1"/>
    </xf>
    <xf numFmtId="0" fontId="10" fillId="11" borderId="17" xfId="0" applyFont="1" applyFill="1" applyBorder="1" applyAlignment="1">
      <alignment horizontal="center"/>
    </xf>
    <xf numFmtId="4" fontId="11" fillId="0" borderId="0" xfId="0" applyNumberFormat="1" applyFont="1"/>
    <xf numFmtId="0" fontId="12" fillId="0" borderId="18" xfId="0" applyFont="1" applyBorder="1" applyAlignment="1">
      <alignment vertical="center" wrapText="1"/>
    </xf>
    <xf numFmtId="0" fontId="14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13" fillId="0" borderId="0" xfId="0" applyFont="1" applyAlignment="1">
      <alignment horizontal="left" vertical="center" wrapText="1" indent="1"/>
    </xf>
    <xf numFmtId="0" fontId="15" fillId="0" borderId="0" xfId="0" applyFont="1" applyAlignment="1">
      <alignment horizontal="left" vertical="center" wrapText="1" indent="3"/>
    </xf>
    <xf numFmtId="0" fontId="0" fillId="14" borderId="0" xfId="0" applyFill="1"/>
    <xf numFmtId="0" fontId="17" fillId="15" borderId="19" xfId="0" applyFont="1" applyFill="1" applyBorder="1" applyAlignment="1">
      <alignment horizontal="center" wrapText="1"/>
    </xf>
    <xf numFmtId="0" fontId="16" fillId="16" borderId="20" xfId="0" applyFont="1" applyFill="1" applyBorder="1" applyAlignment="1">
      <alignment horizontal="left" vertical="center" wrapText="1"/>
    </xf>
    <xf numFmtId="4" fontId="16" fillId="16" borderId="20" xfId="0" applyNumberFormat="1" applyFont="1" applyFill="1" applyBorder="1" applyAlignment="1">
      <alignment horizontal="center" vertical="center" wrapText="1"/>
    </xf>
    <xf numFmtId="0" fontId="16" fillId="16" borderId="20" xfId="0" applyFont="1" applyFill="1" applyBorder="1" applyAlignment="1">
      <alignment horizontal="center" vertical="center" wrapText="1"/>
    </xf>
    <xf numFmtId="0" fontId="17" fillId="15" borderId="21" xfId="0" applyFont="1" applyFill="1" applyBorder="1" applyAlignment="1">
      <alignment horizontal="center" wrapText="1"/>
    </xf>
    <xf numFmtId="0" fontId="0" fillId="14" borderId="20" xfId="0" applyFill="1" applyBorder="1"/>
    <xf numFmtId="0" fontId="16" fillId="14" borderId="20" xfId="0" applyFont="1" applyFill="1" applyBorder="1" applyAlignment="1">
      <alignment horizontal="left" vertical="center" wrapText="1"/>
    </xf>
    <xf numFmtId="0" fontId="16" fillId="14" borderId="20" xfId="0" applyFont="1" applyFill="1" applyBorder="1" applyAlignment="1">
      <alignment horizontal="center" vertical="center" wrapText="1"/>
    </xf>
    <xf numFmtId="4" fontId="16" fillId="14" borderId="20" xfId="0" applyNumberFormat="1" applyFont="1" applyFill="1" applyBorder="1" applyAlignment="1">
      <alignment horizontal="center" vertical="center" wrapText="1"/>
    </xf>
    <xf numFmtId="164" fontId="0" fillId="0" borderId="0" xfId="1" applyNumberFormat="1" applyFont="1"/>
    <xf numFmtId="44" fontId="0" fillId="17" borderId="0" xfId="1" applyFont="1" applyFill="1"/>
    <xf numFmtId="4" fontId="0" fillId="17" borderId="0" xfId="0" applyNumberFormat="1" applyFill="1"/>
    <xf numFmtId="4" fontId="16" fillId="4" borderId="20" xfId="0" applyNumberFormat="1" applyFont="1" applyFill="1" applyBorder="1" applyAlignment="1">
      <alignment horizontal="center" vertical="center" wrapText="1"/>
    </xf>
    <xf numFmtId="0" fontId="16" fillId="4" borderId="20" xfId="0" applyFont="1" applyFill="1" applyBorder="1" applyAlignment="1">
      <alignment horizontal="center" vertical="center" wrapText="1"/>
    </xf>
    <xf numFmtId="44" fontId="0" fillId="18" borderId="0" xfId="1" applyFont="1" applyFill="1"/>
    <xf numFmtId="4" fontId="0" fillId="4" borderId="0" xfId="0" applyNumberFormat="1" applyFill="1"/>
    <xf numFmtId="44" fontId="2" fillId="17" borderId="0" xfId="1" applyFont="1" applyFill="1"/>
    <xf numFmtId="0" fontId="18" fillId="19" borderId="22" xfId="0" applyFont="1" applyFill="1" applyBorder="1" applyAlignment="1">
      <alignment horizontal="center" vertical="top" wrapText="1"/>
    </xf>
    <xf numFmtId="0" fontId="19" fillId="20" borderId="22" xfId="0" applyFont="1" applyFill="1" applyBorder="1" applyAlignment="1">
      <alignment horizontal="right" vertical="center" wrapText="1"/>
    </xf>
    <xf numFmtId="0" fontId="19" fillId="21" borderId="22" xfId="0" applyFont="1" applyFill="1" applyBorder="1" applyAlignment="1">
      <alignment horizontal="right" vertical="center" wrapText="1"/>
    </xf>
    <xf numFmtId="4" fontId="19" fillId="21" borderId="22" xfId="0" applyNumberFormat="1" applyFont="1" applyFill="1" applyBorder="1" applyAlignment="1">
      <alignment horizontal="right" vertical="center" wrapText="1"/>
    </xf>
    <xf numFmtId="0" fontId="0" fillId="14" borderId="23" xfId="0" applyFill="1" applyBorder="1" applyAlignment="1">
      <alignment horizontal="right" vertical="center" wrapText="1"/>
    </xf>
    <xf numFmtId="4" fontId="0" fillId="14" borderId="24" xfId="0" applyNumberFormat="1" applyFill="1" applyBorder="1" applyAlignment="1">
      <alignment horizontal="right" vertical="center" wrapText="1"/>
    </xf>
    <xf numFmtId="0" fontId="20" fillId="20" borderId="22" xfId="0" applyFont="1" applyFill="1" applyBorder="1" applyAlignment="1">
      <alignment horizontal="right" vertical="center" wrapText="1"/>
    </xf>
    <xf numFmtId="0" fontId="21" fillId="14" borderId="22" xfId="0" applyFont="1" applyFill="1" applyBorder="1" applyAlignment="1">
      <alignment vertical="center" wrapText="1"/>
    </xf>
    <xf numFmtId="0" fontId="19" fillId="22" borderId="22" xfId="0" applyFont="1" applyFill="1" applyBorder="1" applyAlignment="1">
      <alignment horizontal="right" vertical="center" wrapText="1"/>
    </xf>
    <xf numFmtId="4" fontId="19" fillId="22" borderId="22" xfId="0" applyNumberFormat="1" applyFont="1" applyFill="1" applyBorder="1" applyAlignment="1">
      <alignment horizontal="right" vertical="center" wrapText="1"/>
    </xf>
    <xf numFmtId="0" fontId="22" fillId="20" borderId="22" xfId="0" applyFont="1" applyFill="1" applyBorder="1" applyAlignment="1">
      <alignment horizontal="right" vertical="center" wrapText="1"/>
    </xf>
    <xf numFmtId="17" fontId="22" fillId="23" borderId="22" xfId="0" applyNumberFormat="1" applyFont="1" applyFill="1" applyBorder="1" applyAlignment="1">
      <alignment horizontal="right" vertical="center" wrapText="1"/>
    </xf>
    <xf numFmtId="4" fontId="22" fillId="23" borderId="22" xfId="0" applyNumberFormat="1" applyFont="1" applyFill="1" applyBorder="1" applyAlignment="1">
      <alignment horizontal="right" vertical="center" wrapText="1"/>
    </xf>
    <xf numFmtId="0" fontId="22" fillId="23" borderId="22" xfId="0" applyFont="1" applyFill="1" applyBorder="1" applyAlignment="1">
      <alignment horizontal="right" vertical="center" wrapText="1"/>
    </xf>
    <xf numFmtId="17" fontId="22" fillId="24" borderId="22" xfId="0" applyNumberFormat="1" applyFont="1" applyFill="1" applyBorder="1" applyAlignment="1">
      <alignment horizontal="right" vertical="center" wrapText="1"/>
    </xf>
    <xf numFmtId="0" fontId="22" fillId="24" borderId="22" xfId="0" applyFont="1" applyFill="1" applyBorder="1" applyAlignment="1">
      <alignment horizontal="right" vertical="center" wrapText="1"/>
    </xf>
    <xf numFmtId="0" fontId="0" fillId="14" borderId="24" xfId="0" applyFill="1" applyBorder="1" applyAlignment="1">
      <alignment horizontal="right" vertical="center" wrapText="1"/>
    </xf>
    <xf numFmtId="4" fontId="22" fillId="24" borderId="22" xfId="0" applyNumberFormat="1" applyFont="1" applyFill="1" applyBorder="1" applyAlignment="1">
      <alignment horizontal="right" vertical="center" wrapText="1"/>
    </xf>
    <xf numFmtId="0" fontId="18" fillId="19" borderId="29" xfId="0" applyFont="1" applyFill="1" applyBorder="1" applyAlignment="1">
      <alignment horizontal="center" vertical="top" wrapText="1"/>
    </xf>
    <xf numFmtId="0" fontId="0" fillId="14" borderId="31" xfId="0" applyFill="1" applyBorder="1"/>
    <xf numFmtId="0" fontId="0" fillId="14" borderId="32" xfId="0" applyFill="1" applyBorder="1"/>
    <xf numFmtId="0" fontId="4" fillId="2" borderId="3" xfId="0" applyFont="1" applyFill="1" applyBorder="1" applyAlignment="1">
      <alignment horizontal="left" vertical="center" readingOrder="1"/>
    </xf>
    <xf numFmtId="0" fontId="0" fillId="4" borderId="0" xfId="0" applyFill="1"/>
    <xf numFmtId="49" fontId="3" fillId="2" borderId="1" xfId="0" applyNumberFormat="1" applyFont="1" applyFill="1" applyBorder="1" applyAlignment="1">
      <alignment horizontal="left" vertical="top" readingOrder="1"/>
    </xf>
    <xf numFmtId="164" fontId="3" fillId="3" borderId="1" xfId="0" applyNumberFormat="1" applyFont="1" applyFill="1" applyBorder="1" applyAlignment="1">
      <alignment horizontal="righ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64" fontId="1" fillId="10" borderId="1" xfId="0" applyNumberFormat="1" applyFont="1" applyFill="1" applyBorder="1" applyAlignment="1">
      <alignment horizontal="right" vertical="center" readingOrder="1"/>
    </xf>
    <xf numFmtId="164" fontId="1" fillId="6" borderId="1" xfId="0" applyNumberFormat="1" applyFont="1" applyFill="1" applyBorder="1" applyAlignment="1">
      <alignment horizontal="right" vertical="center" readingOrder="1"/>
    </xf>
    <xf numFmtId="164" fontId="1" fillId="10" borderId="2" xfId="0" applyNumberFormat="1" applyFont="1" applyFill="1" applyBorder="1" applyAlignment="1">
      <alignment horizontal="right" vertical="center" readingOrder="1"/>
    </xf>
    <xf numFmtId="164" fontId="1" fillId="10" borderId="13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left" vertical="top" readingOrder="1"/>
    </xf>
    <xf numFmtId="0" fontId="19" fillId="21" borderId="39" xfId="0" applyFont="1" applyFill="1" applyBorder="1" applyAlignment="1">
      <alignment vertical="center" wrapText="1"/>
    </xf>
    <xf numFmtId="0" fontId="19" fillId="21" borderId="40" xfId="0" applyFont="1" applyFill="1" applyBorder="1" applyAlignment="1">
      <alignment vertical="center" wrapText="1"/>
    </xf>
    <xf numFmtId="0" fontId="18" fillId="19" borderId="33" xfId="0" applyFont="1" applyFill="1" applyBorder="1" applyAlignment="1">
      <alignment horizontal="center" vertical="top" wrapText="1"/>
    </xf>
    <xf numFmtId="0" fontId="18" fillId="19" borderId="34" xfId="0" applyFont="1" applyFill="1" applyBorder="1" applyAlignment="1">
      <alignment horizontal="center" vertical="top" wrapText="1"/>
    </xf>
    <xf numFmtId="0" fontId="18" fillId="19" borderId="35" xfId="0" applyFont="1" applyFill="1" applyBorder="1" applyAlignment="1">
      <alignment horizontal="center" vertical="top" wrapText="1"/>
    </xf>
    <xf numFmtId="0" fontId="18" fillId="19" borderId="30" xfId="0" applyFont="1" applyFill="1" applyBorder="1" applyAlignment="1">
      <alignment horizontal="center" vertical="top" wrapText="1"/>
    </xf>
    <xf numFmtId="0" fontId="18" fillId="19" borderId="26" xfId="0" applyFont="1" applyFill="1" applyBorder="1" applyAlignment="1">
      <alignment horizontal="center" vertical="top" wrapText="1"/>
    </xf>
    <xf numFmtId="0" fontId="18" fillId="19" borderId="36" xfId="0" applyFont="1" applyFill="1" applyBorder="1" applyAlignment="1">
      <alignment horizontal="center" vertical="top" wrapText="1"/>
    </xf>
    <xf numFmtId="0" fontId="18" fillId="19" borderId="27" xfId="0" applyFont="1" applyFill="1" applyBorder="1" applyAlignment="1">
      <alignment horizontal="center" vertical="top" wrapText="1"/>
    </xf>
    <xf numFmtId="0" fontId="18" fillId="19" borderId="28" xfId="0" applyFont="1" applyFill="1" applyBorder="1" applyAlignment="1">
      <alignment horizontal="center" vertical="top" wrapText="1"/>
    </xf>
    <xf numFmtId="0" fontId="18" fillId="19" borderId="37" xfId="0" applyFont="1" applyFill="1" applyBorder="1" applyAlignment="1">
      <alignment horizontal="center" vertical="top" wrapText="1"/>
    </xf>
    <xf numFmtId="0" fontId="18" fillId="19" borderId="38" xfId="0" applyFont="1" applyFill="1" applyBorder="1" applyAlignment="1">
      <alignment horizontal="center" vertical="top" wrapText="1"/>
    </xf>
    <xf numFmtId="0" fontId="18" fillId="19" borderId="25" xfId="0" applyFont="1" applyFill="1" applyBorder="1" applyAlignment="1">
      <alignment horizontal="center" vertical="top" wrapText="1"/>
    </xf>
    <xf numFmtId="0" fontId="18" fillId="19" borderId="39" xfId="0" applyFont="1" applyFill="1" applyBorder="1" applyAlignment="1">
      <alignment horizontal="center" vertical="top" wrapText="1"/>
    </xf>
    <xf numFmtId="0" fontId="18" fillId="19" borderId="40" xfId="0" applyFont="1" applyFill="1" applyBorder="1" applyAlignment="1">
      <alignment horizontal="center" vertical="top" wrapText="1"/>
    </xf>
    <xf numFmtId="49" fontId="4" fillId="2" borderId="3" xfId="0" applyNumberFormat="1" applyFont="1" applyFill="1" applyBorder="1" applyAlignment="1">
      <alignment horizontal="left" vertical="center" readingOrder="1"/>
    </xf>
    <xf numFmtId="164" fontId="6" fillId="3" borderId="3" xfId="0" applyNumberFormat="1" applyFont="1" applyFill="1" applyBorder="1" applyAlignment="1">
      <alignment horizontal="right" vertical="center" readingOrder="1"/>
    </xf>
    <xf numFmtId="49" fontId="3" fillId="2" borderId="3" xfId="0" applyNumberFormat="1" applyFont="1" applyFill="1" applyBorder="1" applyAlignment="1">
      <alignment horizontal="left" vertical="center" readingOrder="1"/>
    </xf>
    <xf numFmtId="164" fontId="7" fillId="5" borderId="3" xfId="0" applyNumberFormat="1" applyFont="1" applyFill="1" applyBorder="1" applyAlignment="1">
      <alignment horizontal="right" vertical="center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B17E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15240</xdr:rowOff>
    </xdr:from>
    <xdr:to>
      <xdr:col>6</xdr:col>
      <xdr:colOff>401094</xdr:colOff>
      <xdr:row>5</xdr:row>
      <xdr:rowOff>119888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1708CF1-8F97-E66A-6AF8-982D7FBF6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"/>
          <a:ext cx="6885714" cy="101904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Q169"/>
  <sheetViews>
    <sheetView tabSelected="1" zoomScaleNormal="100" workbookViewId="0">
      <pane ySplit="12" topLeftCell="A154" activePane="bottomLeft" state="frozen"/>
      <selection pane="bottomLeft" activeCell="G167" sqref="G167"/>
    </sheetView>
  </sheetViews>
  <sheetFormatPr defaultRowHeight="15"/>
  <cols>
    <col min="1" max="1" width="36.85546875" bestFit="1" customWidth="1"/>
    <col min="2" max="2" width="6.85546875" customWidth="1"/>
    <col min="3" max="3" width="14.42578125" customWidth="1"/>
    <col min="4" max="4" width="18.42578125" customWidth="1"/>
    <col min="5" max="5" width="14.42578125" customWidth="1"/>
    <col min="6" max="6" width="12.28515625" customWidth="1"/>
    <col min="7" max="7" width="31.28515625" bestFit="1" customWidth="1"/>
    <col min="8" max="8" width="19.7109375" customWidth="1"/>
    <col min="9" max="9" width="12.42578125" customWidth="1"/>
    <col min="10" max="10" width="13.28515625" customWidth="1"/>
    <col min="11" max="11" width="11.28515625" customWidth="1"/>
    <col min="12" max="12" width="12.85546875" customWidth="1"/>
    <col min="13" max="13" width="10.42578125" customWidth="1"/>
    <col min="14" max="14" width="14.140625" customWidth="1"/>
    <col min="15" max="15" width="13.28515625" customWidth="1"/>
    <col min="16" max="16" width="19.42578125" customWidth="1"/>
    <col min="17" max="17" width="14" bestFit="1" customWidth="1"/>
    <col min="18" max="18" width="24.5703125" customWidth="1"/>
    <col min="19" max="19" width="16.140625" customWidth="1"/>
    <col min="20" max="20" width="17.28515625" customWidth="1"/>
    <col min="21" max="21" width="14" customWidth="1"/>
    <col min="22" max="22" width="14.140625" customWidth="1"/>
    <col min="23" max="23" width="31.42578125" customWidth="1"/>
    <col min="24" max="24" width="17.7109375" customWidth="1"/>
    <col min="25" max="25" width="14.42578125" customWidth="1"/>
    <col min="26" max="26" width="8.28515625" customWidth="1"/>
    <col min="27" max="27" width="10.140625" customWidth="1"/>
    <col min="28" max="28" width="15.28515625" customWidth="1"/>
    <col min="29" max="29" width="13.85546875" customWidth="1"/>
    <col min="30" max="30" width="14.7109375" customWidth="1"/>
    <col min="31" max="31" width="17.28515625" customWidth="1"/>
    <col min="32" max="32" width="27.28515625" customWidth="1"/>
    <col min="33" max="33" width="21.7109375" customWidth="1"/>
    <col min="34" max="34" width="13.85546875" customWidth="1"/>
    <col min="35" max="35" width="17.28515625" bestFit="1" customWidth="1"/>
    <col min="36" max="36" width="18.7109375" bestFit="1" customWidth="1"/>
    <col min="37" max="37" width="20.5703125" customWidth="1"/>
    <col min="39" max="39" width="16.42578125" bestFit="1" customWidth="1"/>
  </cols>
  <sheetData>
    <row r="1" spans="1:39">
      <c r="N1" t="s">
        <v>216</v>
      </c>
      <c r="O1" s="26"/>
      <c r="P1" s="26" t="s">
        <v>219</v>
      </c>
      <c r="Q1" s="26"/>
      <c r="R1" s="26" t="s">
        <v>224</v>
      </c>
      <c r="S1" s="27" t="s">
        <v>220</v>
      </c>
      <c r="T1" s="27" t="s">
        <v>221</v>
      </c>
      <c r="U1" s="26" t="s">
        <v>222</v>
      </c>
      <c r="V1" s="26"/>
      <c r="W1" s="26" t="s">
        <v>223</v>
      </c>
      <c r="X1" s="26" t="s">
        <v>225</v>
      </c>
    </row>
    <row r="2" spans="1:39">
      <c r="N2" t="s">
        <v>217</v>
      </c>
      <c r="O2" s="26">
        <v>8475.5499999999993</v>
      </c>
      <c r="P2" s="26">
        <f>P4+O2</f>
        <v>339404.33</v>
      </c>
      <c r="Q2" s="94">
        <f>eSocial!XEI17</f>
        <v>339404.33</v>
      </c>
      <c r="R2" s="26">
        <v>87.8</v>
      </c>
      <c r="S2" s="26"/>
      <c r="T2" s="26">
        <f>eSocial!XEK29</f>
        <v>19193.84</v>
      </c>
      <c r="U2" s="45">
        <v>3</v>
      </c>
      <c r="V2" s="45">
        <v>1.0311999999999999</v>
      </c>
      <c r="W2" s="54">
        <f>S6+T3+V4+P10-R2</f>
        <v>126592.03797808001</v>
      </c>
      <c r="X2" s="26">
        <v>4632.58</v>
      </c>
    </row>
    <row r="3" spans="1:39">
      <c r="O3" s="26"/>
      <c r="P3" s="26" t="s">
        <v>218</v>
      </c>
      <c r="Q3" s="26"/>
      <c r="R3" s="26"/>
      <c r="T3" s="98">
        <f>P4*0.058</f>
        <v>19193.869240000004</v>
      </c>
      <c r="U3" s="26"/>
      <c r="V3" s="46">
        <f>U2*V2</f>
        <v>3.0935999999999995</v>
      </c>
      <c r="W3" s="26"/>
      <c r="X3" s="26"/>
    </row>
    <row r="4" spans="1:39">
      <c r="N4" s="93">
        <f>N11</f>
        <v>320213.14</v>
      </c>
      <c r="O4" s="26">
        <v>10715.64</v>
      </c>
      <c r="P4" s="26">
        <f>O4+N4</f>
        <v>330928.78000000003</v>
      </c>
      <c r="Q4" s="26"/>
      <c r="R4" s="26"/>
      <c r="S4" s="94">
        <f>O2*0.2</f>
        <v>1695.11</v>
      </c>
      <c r="T4" s="94">
        <f>eSocial!XEI28</f>
        <v>1695.11</v>
      </c>
      <c r="U4" s="26"/>
      <c r="V4" s="100">
        <f>P4*(V3/100)</f>
        <v>10237.612738079999</v>
      </c>
      <c r="W4" s="94">
        <f>eSocial!XEI34</f>
        <v>10237.61</v>
      </c>
      <c r="X4" s="26" t="s">
        <v>226</v>
      </c>
      <c r="Y4" s="47">
        <f>W2+X2</f>
        <v>131224.61797808</v>
      </c>
    </row>
    <row r="5" spans="1:39">
      <c r="O5" s="26"/>
      <c r="P5" s="26"/>
      <c r="Q5" s="26"/>
      <c r="R5" s="26"/>
      <c r="S5" s="94">
        <f>P4*0.2</f>
        <v>66185.756000000008</v>
      </c>
      <c r="T5" s="94">
        <f>eSocial!XEI27</f>
        <v>66185.75</v>
      </c>
      <c r="U5" s="26"/>
      <c r="V5" s="26"/>
      <c r="W5" s="26"/>
      <c r="X5" s="26"/>
    </row>
    <row r="6" spans="1:39">
      <c r="O6" s="26"/>
      <c r="P6" s="52">
        <v>27471.49</v>
      </c>
      <c r="Q6" s="26"/>
      <c r="R6" s="26"/>
      <c r="S6" s="27">
        <f>SUM(S4:S5)</f>
        <v>67880.866000000009</v>
      </c>
      <c r="T6" s="26"/>
      <c r="U6" s="26"/>
      <c r="V6" s="26"/>
      <c r="W6" s="26"/>
      <c r="X6" s="26"/>
    </row>
    <row r="7" spans="1:39">
      <c r="O7" s="26"/>
      <c r="P7" s="42">
        <v>160.11000000000001</v>
      </c>
      <c r="Q7" s="26"/>
      <c r="R7" s="26"/>
      <c r="S7" s="26"/>
      <c r="T7" s="26"/>
      <c r="U7" s="26"/>
      <c r="V7" s="26"/>
      <c r="W7" s="26"/>
      <c r="X7" s="26"/>
    </row>
    <row r="8" spans="1:39">
      <c r="O8" s="26"/>
      <c r="P8" s="52">
        <v>932.31</v>
      </c>
      <c r="Q8" s="52">
        <f>P6+P8</f>
        <v>28403.800000000003</v>
      </c>
      <c r="R8" s="26"/>
      <c r="S8" s="26">
        <v>5069.08</v>
      </c>
      <c r="T8" s="26">
        <v>124896.91</v>
      </c>
      <c r="U8" s="26">
        <f>T8+S4</f>
        <v>126592.02</v>
      </c>
      <c r="V8" s="26"/>
      <c r="W8" s="26"/>
      <c r="X8" s="26"/>
    </row>
    <row r="9" spans="1:39">
      <c r="P9" s="43">
        <v>803.58</v>
      </c>
      <c r="S9">
        <v>1695.13</v>
      </c>
    </row>
    <row r="10" spans="1:39">
      <c r="P10" s="48">
        <f>SUM(P6:P9)</f>
        <v>29367.490000000005</v>
      </c>
      <c r="Q10" s="95">
        <f>eSocial!XEJ19</f>
        <v>29367.49</v>
      </c>
    </row>
    <row r="11" spans="1:39">
      <c r="N11" s="44">
        <f>N150</f>
        <v>320213.14</v>
      </c>
      <c r="O11" s="44">
        <f>O150</f>
        <v>10715.64</v>
      </c>
      <c r="P11" s="51">
        <f>P150</f>
        <v>28403.8</v>
      </c>
      <c r="Q11" s="50">
        <f>Q150</f>
        <v>803.58</v>
      </c>
      <c r="R11" s="49">
        <f>R150</f>
        <v>160.11000000000001</v>
      </c>
      <c r="S11" s="44">
        <f t="shared" ref="S11:AA11" si="0">S151</f>
        <v>66185.755999999994</v>
      </c>
      <c r="T11" s="44">
        <f t="shared" si="0"/>
        <v>9927.8634000000002</v>
      </c>
      <c r="U11" s="53">
        <f t="shared" si="0"/>
        <v>19193.86924</v>
      </c>
      <c r="V11" s="44">
        <f t="shared" si="0"/>
        <v>124587.17864</v>
      </c>
      <c r="W11" s="44">
        <f t="shared" si="0"/>
        <v>326639.35999999999</v>
      </c>
      <c r="X11" s="44">
        <f t="shared" si="0"/>
        <v>2049.33</v>
      </c>
      <c r="Y11" s="44">
        <f t="shared" si="0"/>
        <v>4632.58</v>
      </c>
      <c r="Z11" s="44">
        <f t="shared" si="0"/>
        <v>0</v>
      </c>
      <c r="AA11" s="44">
        <f t="shared" si="0"/>
        <v>0</v>
      </c>
    </row>
    <row r="12" spans="1:39" ht="15" customHeight="1">
      <c r="A12" s="1" t="s">
        <v>22</v>
      </c>
      <c r="B12" s="1" t="s">
        <v>23</v>
      </c>
      <c r="C12" s="1" t="s">
        <v>24</v>
      </c>
      <c r="D12" s="1" t="s">
        <v>25</v>
      </c>
      <c r="E12" s="4" t="s">
        <v>0</v>
      </c>
      <c r="F12" s="131" t="s">
        <v>1</v>
      </c>
      <c r="G12" s="131"/>
      <c r="H12" s="4" t="s">
        <v>2</v>
      </c>
      <c r="I12" s="2" t="s">
        <v>3</v>
      </c>
      <c r="J12" s="2" t="s">
        <v>4</v>
      </c>
      <c r="K12" s="2" t="s">
        <v>5</v>
      </c>
      <c r="L12" s="2" t="s">
        <v>6</v>
      </c>
      <c r="M12" s="2" t="s">
        <v>7</v>
      </c>
      <c r="N12" s="2" t="s">
        <v>8</v>
      </c>
      <c r="O12" s="2" t="s">
        <v>9</v>
      </c>
      <c r="P12" s="2" t="s">
        <v>10</v>
      </c>
      <c r="Q12" s="2" t="s">
        <v>11</v>
      </c>
      <c r="R12" s="2" t="s">
        <v>12</v>
      </c>
      <c r="S12" s="2" t="s">
        <v>13</v>
      </c>
      <c r="T12" s="2" t="s">
        <v>14</v>
      </c>
      <c r="U12" s="2" t="s">
        <v>15</v>
      </c>
      <c r="V12" s="2" t="s">
        <v>16</v>
      </c>
      <c r="W12" s="2" t="s">
        <v>17</v>
      </c>
      <c r="X12" s="2" t="s">
        <v>18</v>
      </c>
      <c r="Y12" s="2" t="s">
        <v>19</v>
      </c>
      <c r="Z12" s="2" t="s">
        <v>20</v>
      </c>
      <c r="AA12" s="2" t="s">
        <v>21</v>
      </c>
      <c r="AD12" s="58" t="s">
        <v>227</v>
      </c>
      <c r="AE12" s="58" t="s">
        <v>228</v>
      </c>
      <c r="AF12" s="58" t="s">
        <v>229</v>
      </c>
      <c r="AG12" s="58" t="s">
        <v>230</v>
      </c>
      <c r="AH12" s="58" t="s">
        <v>231</v>
      </c>
      <c r="AI12" s="76" t="s">
        <v>237</v>
      </c>
      <c r="AJ12" s="76" t="s">
        <v>238</v>
      </c>
      <c r="AK12" t="s">
        <v>234</v>
      </c>
      <c r="AL12" t="s">
        <v>235</v>
      </c>
      <c r="AM12" t="s">
        <v>236</v>
      </c>
    </row>
    <row r="13" spans="1:39" ht="15" customHeight="1">
      <c r="A13" s="71" t="s">
        <v>26</v>
      </c>
      <c r="B13" s="71" t="s">
        <v>27</v>
      </c>
      <c r="C13" s="71" t="s">
        <v>28</v>
      </c>
      <c r="D13" s="71" t="s">
        <v>29</v>
      </c>
      <c r="E13" s="72">
        <v>1467.94</v>
      </c>
      <c r="F13" s="127">
        <v>613.89</v>
      </c>
      <c r="G13" s="127"/>
      <c r="H13" s="74">
        <v>0</v>
      </c>
      <c r="I13" s="73">
        <v>602.59</v>
      </c>
      <c r="J13" s="73">
        <v>117.43519999999999</v>
      </c>
      <c r="K13" s="73">
        <v>49.111199999999997</v>
      </c>
      <c r="L13" s="73">
        <v>0</v>
      </c>
      <c r="M13" s="73">
        <v>48.2072</v>
      </c>
      <c r="N13" s="73">
        <v>1467.94</v>
      </c>
      <c r="O13" s="73">
        <v>602.59</v>
      </c>
      <c r="P13" s="73">
        <v>110.09</v>
      </c>
      <c r="Q13" s="73">
        <v>45.19</v>
      </c>
      <c r="R13" s="73">
        <v>0</v>
      </c>
      <c r="S13" s="3">
        <v>414.10599999999999</v>
      </c>
      <c r="T13" s="3">
        <v>62.115900000000003</v>
      </c>
      <c r="U13" s="3">
        <v>120.09074</v>
      </c>
      <c r="V13" s="3">
        <v>751.59263999999996</v>
      </c>
      <c r="W13" s="3">
        <v>1467.94</v>
      </c>
      <c r="X13" s="3">
        <v>0</v>
      </c>
      <c r="Y13" s="3">
        <v>0</v>
      </c>
      <c r="Z13" s="3">
        <v>0</v>
      </c>
      <c r="AA13" s="3">
        <v>0</v>
      </c>
      <c r="AB13" s="13">
        <f>(N13+O13)-(AE13+AF13)</f>
        <v>0</v>
      </c>
      <c r="AC13" s="13">
        <f>(P13+Q13)-(AG13+AH13)</f>
        <v>0</v>
      </c>
      <c r="AD13" s="59" t="s">
        <v>26</v>
      </c>
      <c r="AE13" s="60">
        <v>1467.94</v>
      </c>
      <c r="AF13" s="60">
        <v>602.59</v>
      </c>
      <c r="AG13" s="60">
        <v>110.09</v>
      </c>
      <c r="AH13" s="60">
        <v>45.19</v>
      </c>
      <c r="AI13" s="13">
        <f>(E13+F13+H13+I13)-AL13</f>
        <v>2684.42</v>
      </c>
      <c r="AJ13" s="13">
        <f>(J13+K13+L13+M13)-AM13</f>
        <v>214.75360000000001</v>
      </c>
    </row>
    <row r="14" spans="1:39" ht="15" customHeight="1">
      <c r="A14" s="71" t="s">
        <v>30</v>
      </c>
      <c r="B14" s="71" t="s">
        <v>27</v>
      </c>
      <c r="C14" s="71" t="s">
        <v>28</v>
      </c>
      <c r="D14" s="71" t="s">
        <v>29</v>
      </c>
      <c r="E14" s="72">
        <v>1429.82</v>
      </c>
      <c r="F14" s="127">
        <v>612.64</v>
      </c>
      <c r="G14" s="127"/>
      <c r="H14" s="74">
        <v>0</v>
      </c>
      <c r="I14" s="73">
        <v>601.71</v>
      </c>
      <c r="J14" s="73">
        <v>114.3856</v>
      </c>
      <c r="K14" s="73">
        <v>49.011200000000002</v>
      </c>
      <c r="L14" s="73">
        <v>0</v>
      </c>
      <c r="M14" s="73">
        <v>48.136800000000001</v>
      </c>
      <c r="N14" s="73">
        <v>1429.82</v>
      </c>
      <c r="O14" s="73">
        <v>601.71</v>
      </c>
      <c r="P14" s="73">
        <v>107.23</v>
      </c>
      <c r="Q14" s="73">
        <v>45.12</v>
      </c>
      <c r="R14" s="73">
        <v>0</v>
      </c>
      <c r="S14" s="3">
        <v>406.30599999999998</v>
      </c>
      <c r="T14" s="3">
        <v>60.945900000000002</v>
      </c>
      <c r="U14" s="3">
        <v>117.82874</v>
      </c>
      <c r="V14" s="3">
        <v>737.43064000000004</v>
      </c>
      <c r="W14" s="3">
        <v>1429.82</v>
      </c>
      <c r="X14" s="3">
        <v>0</v>
      </c>
      <c r="Y14" s="3">
        <v>0</v>
      </c>
      <c r="Z14" s="3">
        <v>0</v>
      </c>
      <c r="AA14" s="3">
        <v>0</v>
      </c>
      <c r="AB14" s="13">
        <f t="shared" ref="AB14:AB70" si="1">(N14+O14)-(AE14+AF14)</f>
        <v>0</v>
      </c>
      <c r="AC14" s="13">
        <f t="shared" ref="AC14:AC70" si="2">(P14+Q14)-(AG14+AH14)</f>
        <v>0</v>
      </c>
      <c r="AD14" s="61" t="s">
        <v>30</v>
      </c>
      <c r="AE14" s="62">
        <v>1429.82</v>
      </c>
      <c r="AF14" s="62">
        <v>601.71</v>
      </c>
      <c r="AG14" s="62">
        <v>107.23</v>
      </c>
      <c r="AH14" s="62">
        <v>45.12</v>
      </c>
      <c r="AI14" s="13">
        <f t="shared" ref="AI14:AI18" si="3">(E14+F14+H14+I14)-AL14</f>
        <v>2644.17</v>
      </c>
      <c r="AJ14" s="13">
        <f t="shared" ref="AJ14:AJ18" si="4">(J14+K14+L14+M14)-AM14</f>
        <v>211.53359999999998</v>
      </c>
    </row>
    <row r="15" spans="1:39" ht="15" customHeight="1">
      <c r="A15" s="2" t="s">
        <v>31</v>
      </c>
      <c r="B15" s="2" t="s">
        <v>32</v>
      </c>
      <c r="C15" s="2" t="s">
        <v>33</v>
      </c>
      <c r="D15" s="2" t="s">
        <v>29</v>
      </c>
      <c r="E15" s="5">
        <v>1981.3</v>
      </c>
      <c r="F15" s="126">
        <v>0</v>
      </c>
      <c r="G15" s="126"/>
      <c r="H15" s="10">
        <v>0</v>
      </c>
      <c r="I15" s="3">
        <v>0</v>
      </c>
      <c r="J15" s="3">
        <v>158.50399999999999</v>
      </c>
      <c r="K15" s="3">
        <v>0</v>
      </c>
      <c r="L15" s="3">
        <v>0</v>
      </c>
      <c r="M15" s="3">
        <v>0</v>
      </c>
      <c r="N15" s="3">
        <v>1981.3</v>
      </c>
      <c r="O15" s="3">
        <v>0</v>
      </c>
      <c r="P15" s="3">
        <v>153.99</v>
      </c>
      <c r="Q15" s="3">
        <v>0</v>
      </c>
      <c r="R15" s="3">
        <v>0</v>
      </c>
      <c r="S15" s="3">
        <v>396.26</v>
      </c>
      <c r="T15" s="3">
        <v>59.439</v>
      </c>
      <c r="U15" s="3">
        <v>114.91540000000001</v>
      </c>
      <c r="V15" s="3">
        <v>724.60440000000006</v>
      </c>
      <c r="W15" s="3">
        <v>1981.3</v>
      </c>
      <c r="X15" s="3">
        <v>0</v>
      </c>
      <c r="Y15" s="3">
        <v>0</v>
      </c>
      <c r="Z15" s="3">
        <v>0</v>
      </c>
      <c r="AA15" s="3">
        <v>0</v>
      </c>
      <c r="AB15" s="13">
        <f t="shared" si="1"/>
        <v>0</v>
      </c>
      <c r="AC15" s="13">
        <f t="shared" si="2"/>
        <v>0</v>
      </c>
      <c r="AD15" s="63" t="s">
        <v>31</v>
      </c>
      <c r="AE15" s="64">
        <v>1981.3</v>
      </c>
      <c r="AF15" s="64">
        <v>0</v>
      </c>
      <c r="AG15" s="64">
        <v>153.99</v>
      </c>
      <c r="AH15" s="64">
        <v>0</v>
      </c>
      <c r="AI15" s="13">
        <f t="shared" si="3"/>
        <v>0</v>
      </c>
      <c r="AJ15" s="13">
        <f t="shared" si="4"/>
        <v>3.9999999999906777E-3</v>
      </c>
      <c r="AK15" t="s">
        <v>31</v>
      </c>
      <c r="AL15" s="70">
        <v>1981.3</v>
      </c>
      <c r="AM15">
        <v>158.5</v>
      </c>
    </row>
    <row r="16" spans="1:39" ht="15" customHeight="1">
      <c r="A16" s="2" t="s">
        <v>34</v>
      </c>
      <c r="B16" s="2" t="s">
        <v>35</v>
      </c>
      <c r="C16" s="2" t="s">
        <v>33</v>
      </c>
      <c r="D16" s="2" t="s">
        <v>29</v>
      </c>
      <c r="E16" s="5">
        <v>3353.75</v>
      </c>
      <c r="F16" s="126">
        <v>0</v>
      </c>
      <c r="G16" s="126"/>
      <c r="H16" s="10">
        <v>0</v>
      </c>
      <c r="I16" s="3">
        <v>0</v>
      </c>
      <c r="J16" s="3">
        <v>268.3</v>
      </c>
      <c r="K16" s="3">
        <v>0</v>
      </c>
      <c r="L16" s="3">
        <v>0</v>
      </c>
      <c r="M16" s="3">
        <v>0</v>
      </c>
      <c r="N16" s="3">
        <v>3353.75</v>
      </c>
      <c r="O16" s="3">
        <v>0</v>
      </c>
      <c r="P16" s="3">
        <v>291.02999999999997</v>
      </c>
      <c r="Q16" s="3">
        <v>0</v>
      </c>
      <c r="R16" s="3">
        <v>0</v>
      </c>
      <c r="S16" s="3">
        <v>670.75</v>
      </c>
      <c r="T16" s="3">
        <v>100.6125</v>
      </c>
      <c r="U16" s="3">
        <v>194.51750000000001</v>
      </c>
      <c r="V16" s="3">
        <v>1256.9100000000001</v>
      </c>
      <c r="W16" s="3">
        <v>3353.75</v>
      </c>
      <c r="X16" s="3">
        <v>0</v>
      </c>
      <c r="Y16" s="3">
        <v>0</v>
      </c>
      <c r="Z16" s="3">
        <v>0</v>
      </c>
      <c r="AA16" s="3">
        <v>0</v>
      </c>
      <c r="AB16" s="13">
        <f t="shared" si="1"/>
        <v>0</v>
      </c>
      <c r="AC16" s="13">
        <f t="shared" si="2"/>
        <v>0</v>
      </c>
      <c r="AD16" s="65" t="s">
        <v>34</v>
      </c>
      <c r="AE16" s="66">
        <v>3353.75</v>
      </c>
      <c r="AF16" s="66">
        <v>0</v>
      </c>
      <c r="AG16" s="66">
        <v>291.02999999999997</v>
      </c>
      <c r="AH16" s="66">
        <v>0</v>
      </c>
      <c r="AI16" s="13">
        <f t="shared" si="3"/>
        <v>0</v>
      </c>
      <c r="AJ16" s="13">
        <f t="shared" si="4"/>
        <v>0</v>
      </c>
      <c r="AK16" t="s">
        <v>34</v>
      </c>
      <c r="AL16" s="70">
        <v>3353.75</v>
      </c>
      <c r="AM16">
        <v>268.3</v>
      </c>
    </row>
    <row r="17" spans="1:39" ht="15" customHeight="1">
      <c r="A17" s="2" t="s">
        <v>36</v>
      </c>
      <c r="B17" s="2" t="s">
        <v>35</v>
      </c>
      <c r="C17" s="2" t="s">
        <v>33</v>
      </c>
      <c r="D17" s="2" t="s">
        <v>29</v>
      </c>
      <c r="E17" s="5">
        <v>4571.03</v>
      </c>
      <c r="F17" s="126">
        <v>0</v>
      </c>
      <c r="G17" s="126"/>
      <c r="H17" s="10">
        <v>0</v>
      </c>
      <c r="I17" s="3">
        <v>0</v>
      </c>
      <c r="J17" s="3">
        <v>365.68239999999997</v>
      </c>
      <c r="K17" s="3">
        <v>0</v>
      </c>
      <c r="L17" s="3">
        <v>0</v>
      </c>
      <c r="M17" s="3">
        <v>0</v>
      </c>
      <c r="N17" s="3">
        <v>4571.03</v>
      </c>
      <c r="O17" s="3">
        <v>0</v>
      </c>
      <c r="P17" s="3">
        <v>441.44</v>
      </c>
      <c r="Q17" s="3">
        <v>0</v>
      </c>
      <c r="R17" s="3">
        <v>0</v>
      </c>
      <c r="S17" s="3">
        <v>914.20600000000002</v>
      </c>
      <c r="T17" s="3">
        <v>137.1309</v>
      </c>
      <c r="U17" s="3">
        <v>265.11973999999998</v>
      </c>
      <c r="V17" s="3">
        <v>1757.8966399999999</v>
      </c>
      <c r="W17" s="3">
        <v>4571.03</v>
      </c>
      <c r="X17" s="3">
        <v>0</v>
      </c>
      <c r="Y17" s="3">
        <v>0</v>
      </c>
      <c r="Z17" s="3">
        <v>0</v>
      </c>
      <c r="AA17" s="3">
        <v>0</v>
      </c>
      <c r="AB17" s="13">
        <f t="shared" si="1"/>
        <v>0</v>
      </c>
      <c r="AC17" s="13">
        <f t="shared" si="2"/>
        <v>0</v>
      </c>
      <c r="AD17" s="59" t="s">
        <v>36</v>
      </c>
      <c r="AE17" s="60">
        <v>4571.03</v>
      </c>
      <c r="AF17" s="60">
        <v>0</v>
      </c>
      <c r="AG17" s="60">
        <v>441.44</v>
      </c>
      <c r="AH17" s="60">
        <v>0</v>
      </c>
      <c r="AI17" s="13">
        <f t="shared" si="3"/>
        <v>0</v>
      </c>
      <c r="AJ17" s="13">
        <f t="shared" si="4"/>
        <v>2.3999999999659849E-3</v>
      </c>
      <c r="AK17" t="s">
        <v>36</v>
      </c>
      <c r="AL17" s="70">
        <v>4571.03</v>
      </c>
      <c r="AM17">
        <v>365.68</v>
      </c>
    </row>
    <row r="18" spans="1:39" ht="15" customHeight="1">
      <c r="A18" s="2" t="s">
        <v>37</v>
      </c>
      <c r="B18" s="2" t="s">
        <v>38</v>
      </c>
      <c r="C18" s="2" t="s">
        <v>33</v>
      </c>
      <c r="D18" s="2" t="s">
        <v>29</v>
      </c>
      <c r="E18" s="5">
        <v>1947.01</v>
      </c>
      <c r="F18" s="126">
        <v>0</v>
      </c>
      <c r="G18" s="126"/>
      <c r="H18" s="10">
        <v>0</v>
      </c>
      <c r="I18" s="3">
        <v>0</v>
      </c>
      <c r="J18" s="3">
        <v>155.76079999999999</v>
      </c>
      <c r="K18" s="3">
        <v>0</v>
      </c>
      <c r="L18" s="3">
        <v>0</v>
      </c>
      <c r="M18" s="3">
        <v>0</v>
      </c>
      <c r="N18" s="3">
        <v>1947.01</v>
      </c>
      <c r="O18" s="3">
        <v>0</v>
      </c>
      <c r="P18" s="3">
        <v>150.91</v>
      </c>
      <c r="Q18" s="3">
        <v>0</v>
      </c>
      <c r="R18" s="3">
        <v>0</v>
      </c>
      <c r="S18" s="3">
        <v>389.40199999999999</v>
      </c>
      <c r="T18" s="3">
        <v>58.410299999999999</v>
      </c>
      <c r="U18" s="3">
        <v>112.92658</v>
      </c>
      <c r="V18" s="3">
        <v>711.64887999999996</v>
      </c>
      <c r="W18" s="3">
        <v>1947.01</v>
      </c>
      <c r="X18" s="3">
        <v>0</v>
      </c>
      <c r="Y18" s="3">
        <v>0</v>
      </c>
      <c r="Z18" s="3">
        <v>0</v>
      </c>
      <c r="AA18" s="3">
        <v>0</v>
      </c>
      <c r="AB18" s="13">
        <f t="shared" si="1"/>
        <v>0</v>
      </c>
      <c r="AC18" s="13">
        <f t="shared" si="2"/>
        <v>0</v>
      </c>
      <c r="AD18" s="65" t="s">
        <v>37</v>
      </c>
      <c r="AE18" s="66">
        <v>1947.01</v>
      </c>
      <c r="AF18" s="66">
        <v>0</v>
      </c>
      <c r="AG18" s="66">
        <v>150.91</v>
      </c>
      <c r="AH18" s="66">
        <v>0</v>
      </c>
      <c r="AI18" s="13">
        <f t="shared" si="3"/>
        <v>0</v>
      </c>
      <c r="AJ18" s="13">
        <f t="shared" si="4"/>
        <v>7.9999999999813554E-4</v>
      </c>
      <c r="AK18" t="s">
        <v>37</v>
      </c>
      <c r="AL18" s="70">
        <v>1947.01</v>
      </c>
      <c r="AM18">
        <v>155.76</v>
      </c>
    </row>
    <row r="19" spans="1:39" ht="15" customHeight="1">
      <c r="A19" s="71" t="s">
        <v>39</v>
      </c>
      <c r="B19" s="71" t="s">
        <v>40</v>
      </c>
      <c r="C19" s="71" t="s">
        <v>28</v>
      </c>
      <c r="D19" s="71" t="s">
        <v>29</v>
      </c>
      <c r="E19" s="72">
        <v>987.59</v>
      </c>
      <c r="F19" s="127">
        <v>2511.4499999999998</v>
      </c>
      <c r="G19" s="127"/>
      <c r="H19" s="74">
        <v>184.63</v>
      </c>
      <c r="I19" s="73">
        <v>553.87</v>
      </c>
      <c r="J19" s="73">
        <v>79.007199999999997</v>
      </c>
      <c r="K19" s="73">
        <v>200.916</v>
      </c>
      <c r="L19" s="73">
        <v>14.7704</v>
      </c>
      <c r="M19" s="73">
        <v>44.309600000000003</v>
      </c>
      <c r="N19" s="73">
        <v>987.59</v>
      </c>
      <c r="O19" s="73">
        <v>738.5</v>
      </c>
      <c r="P19" s="73">
        <v>74.06</v>
      </c>
      <c r="Q19" s="73">
        <v>55.38</v>
      </c>
      <c r="R19" s="73">
        <v>0</v>
      </c>
      <c r="S19" s="3">
        <v>345.21800000000002</v>
      </c>
      <c r="T19" s="3">
        <v>51.782699999999998</v>
      </c>
      <c r="U19" s="3">
        <v>100.11322</v>
      </c>
      <c r="V19" s="3">
        <v>626.55391999999995</v>
      </c>
      <c r="W19" s="3">
        <v>987.59</v>
      </c>
      <c r="X19" s="3">
        <v>0</v>
      </c>
      <c r="Y19" s="3">
        <v>0</v>
      </c>
      <c r="Z19" s="3">
        <v>0</v>
      </c>
      <c r="AA19" s="3">
        <v>0</v>
      </c>
      <c r="AB19" s="13">
        <f t="shared" si="1"/>
        <v>0</v>
      </c>
      <c r="AC19" s="13">
        <f t="shared" si="2"/>
        <v>0</v>
      </c>
      <c r="AD19" s="59" t="s">
        <v>39</v>
      </c>
      <c r="AE19" s="60">
        <v>987.59</v>
      </c>
      <c r="AF19" s="60">
        <v>738.5</v>
      </c>
      <c r="AG19" s="60">
        <v>74.06</v>
      </c>
      <c r="AH19" s="60">
        <v>55.38</v>
      </c>
      <c r="AI19" s="13">
        <f t="shared" ref="AI19:AI41" si="5">(E19+F19+H19+I19)-AL19</f>
        <v>4237.54</v>
      </c>
      <c r="AJ19" s="13">
        <f t="shared" ref="AJ19:AJ41" si="6">(J19+K19+L19+M19)-AM19</f>
        <v>339.00319999999999</v>
      </c>
      <c r="AL19" s="70"/>
    </row>
    <row r="20" spans="1:39" ht="15" customHeight="1">
      <c r="A20" s="71" t="s">
        <v>41</v>
      </c>
      <c r="B20" s="71" t="s">
        <v>42</v>
      </c>
      <c r="C20" s="71" t="s">
        <v>28</v>
      </c>
      <c r="D20" s="71" t="s">
        <v>29</v>
      </c>
      <c r="E20" s="72">
        <v>196.14</v>
      </c>
      <c r="F20" s="127">
        <v>0</v>
      </c>
      <c r="G20" s="127"/>
      <c r="H20" s="74">
        <v>0</v>
      </c>
      <c r="I20" s="73">
        <v>0</v>
      </c>
      <c r="J20" s="73">
        <v>15.6912</v>
      </c>
      <c r="K20" s="73">
        <v>0</v>
      </c>
      <c r="L20" s="73">
        <v>0</v>
      </c>
      <c r="M20" s="73">
        <v>0</v>
      </c>
      <c r="N20" s="73">
        <v>196.14</v>
      </c>
      <c r="O20" s="73">
        <v>0</v>
      </c>
      <c r="P20" s="73">
        <v>14.71</v>
      </c>
      <c r="Q20" s="73">
        <v>0</v>
      </c>
      <c r="R20" s="73">
        <v>0</v>
      </c>
      <c r="S20" s="3">
        <v>39.228000000000002</v>
      </c>
      <c r="T20" s="3">
        <v>5.8841999999999999</v>
      </c>
      <c r="U20" s="3">
        <v>11.37612</v>
      </c>
      <c r="V20" s="3">
        <v>71.198319999999995</v>
      </c>
      <c r="W20" s="3">
        <v>196.14</v>
      </c>
      <c r="X20" s="3">
        <v>0</v>
      </c>
      <c r="Y20" s="3">
        <v>0</v>
      </c>
      <c r="Z20" s="3">
        <v>0</v>
      </c>
      <c r="AA20" s="3">
        <v>0</v>
      </c>
      <c r="AB20" s="13">
        <f t="shared" si="1"/>
        <v>0</v>
      </c>
      <c r="AC20" s="13">
        <f t="shared" si="2"/>
        <v>0</v>
      </c>
      <c r="AD20" s="65" t="s">
        <v>41</v>
      </c>
      <c r="AE20" s="66">
        <v>196.14</v>
      </c>
      <c r="AF20" s="66">
        <v>0</v>
      </c>
      <c r="AG20" s="66">
        <v>14.71</v>
      </c>
      <c r="AH20" s="66">
        <v>0</v>
      </c>
      <c r="AI20" s="13">
        <f t="shared" si="5"/>
        <v>0</v>
      </c>
      <c r="AJ20" s="13">
        <f t="shared" si="6"/>
        <v>1.200000000000756E-3</v>
      </c>
      <c r="AK20" t="s">
        <v>41</v>
      </c>
      <c r="AL20">
        <v>196.14</v>
      </c>
      <c r="AM20">
        <v>15.69</v>
      </c>
    </row>
    <row r="21" spans="1:39" ht="15" customHeight="1">
      <c r="A21" s="2" t="s">
        <v>43</v>
      </c>
      <c r="B21" s="2" t="s">
        <v>44</v>
      </c>
      <c r="C21" s="2" t="s">
        <v>33</v>
      </c>
      <c r="D21" s="2" t="s">
        <v>29</v>
      </c>
      <c r="E21" s="5">
        <v>2012.88</v>
      </c>
      <c r="F21" s="126">
        <v>0</v>
      </c>
      <c r="G21" s="126"/>
      <c r="H21" s="10">
        <v>0</v>
      </c>
      <c r="I21" s="3">
        <v>0</v>
      </c>
      <c r="J21" s="3">
        <v>161.03039999999999</v>
      </c>
      <c r="K21" s="3">
        <v>0</v>
      </c>
      <c r="L21" s="3">
        <v>0</v>
      </c>
      <c r="M21" s="3">
        <v>0</v>
      </c>
      <c r="N21" s="3">
        <v>2012.88</v>
      </c>
      <c r="O21" s="3">
        <v>0</v>
      </c>
      <c r="P21" s="3">
        <v>156.83000000000001</v>
      </c>
      <c r="Q21" s="3">
        <v>0</v>
      </c>
      <c r="R21" s="3">
        <v>0</v>
      </c>
      <c r="S21" s="3">
        <v>402.57600000000002</v>
      </c>
      <c r="T21" s="3">
        <v>60.386400000000002</v>
      </c>
      <c r="U21" s="3">
        <v>116.74704</v>
      </c>
      <c r="V21" s="3">
        <v>736.53944000000001</v>
      </c>
      <c r="W21" s="3">
        <v>2012.88</v>
      </c>
      <c r="X21" s="3">
        <v>0</v>
      </c>
      <c r="Y21" s="3">
        <v>0</v>
      </c>
      <c r="Z21" s="3">
        <v>0</v>
      </c>
      <c r="AA21" s="3">
        <v>0</v>
      </c>
      <c r="AB21" s="13">
        <f t="shared" si="1"/>
        <v>0</v>
      </c>
      <c r="AC21" s="13">
        <f t="shared" si="2"/>
        <v>0</v>
      </c>
      <c r="AD21" s="59" t="s">
        <v>43</v>
      </c>
      <c r="AE21" s="60">
        <v>2012.88</v>
      </c>
      <c r="AF21" s="60">
        <v>0</v>
      </c>
      <c r="AG21" s="60">
        <v>156.83000000000001</v>
      </c>
      <c r="AH21" s="60">
        <v>0</v>
      </c>
      <c r="AI21" s="13">
        <f t="shared" si="5"/>
        <v>0</v>
      </c>
      <c r="AJ21" s="13">
        <f t="shared" si="6"/>
        <v>3.9999999998485691E-4</v>
      </c>
      <c r="AK21" t="s">
        <v>43</v>
      </c>
      <c r="AL21" s="70">
        <v>2012.88</v>
      </c>
      <c r="AM21">
        <v>161.03</v>
      </c>
    </row>
    <row r="22" spans="1:39" ht="15" customHeight="1">
      <c r="A22" s="2" t="s">
        <v>45</v>
      </c>
      <c r="B22" s="2" t="s">
        <v>35</v>
      </c>
      <c r="C22" s="2" t="s">
        <v>33</v>
      </c>
      <c r="D22" s="2" t="s">
        <v>29</v>
      </c>
      <c r="E22" s="5">
        <v>2700</v>
      </c>
      <c r="F22" s="126">
        <v>0</v>
      </c>
      <c r="G22" s="126"/>
      <c r="H22" s="10">
        <v>0</v>
      </c>
      <c r="I22" s="3">
        <v>0</v>
      </c>
      <c r="J22" s="3">
        <v>216</v>
      </c>
      <c r="K22" s="3">
        <v>0</v>
      </c>
      <c r="L22" s="3">
        <v>0</v>
      </c>
      <c r="M22" s="3">
        <v>0</v>
      </c>
      <c r="N22" s="3">
        <v>2700</v>
      </c>
      <c r="O22" s="3">
        <v>0</v>
      </c>
      <c r="P22" s="3">
        <v>218.68</v>
      </c>
      <c r="Q22" s="3">
        <v>0</v>
      </c>
      <c r="R22" s="3">
        <v>0</v>
      </c>
      <c r="S22" s="3">
        <v>540</v>
      </c>
      <c r="T22" s="3">
        <v>81</v>
      </c>
      <c r="U22" s="3">
        <v>156.6</v>
      </c>
      <c r="V22" s="3">
        <v>996.28</v>
      </c>
      <c r="W22" s="3">
        <v>2700</v>
      </c>
      <c r="X22" s="3">
        <v>0</v>
      </c>
      <c r="Y22" s="3">
        <v>0</v>
      </c>
      <c r="Z22" s="3">
        <v>0</v>
      </c>
      <c r="AA22" s="3">
        <v>0</v>
      </c>
      <c r="AB22" s="13">
        <f t="shared" si="1"/>
        <v>0</v>
      </c>
      <c r="AC22" s="13">
        <f t="shared" si="2"/>
        <v>0</v>
      </c>
      <c r="AD22" s="65" t="s">
        <v>45</v>
      </c>
      <c r="AE22" s="66">
        <v>2700</v>
      </c>
      <c r="AF22" s="66">
        <v>0</v>
      </c>
      <c r="AG22" s="66">
        <v>218.68</v>
      </c>
      <c r="AH22" s="66">
        <v>0</v>
      </c>
      <c r="AI22" s="13">
        <f t="shared" si="5"/>
        <v>0</v>
      </c>
      <c r="AJ22" s="13">
        <f t="shared" si="6"/>
        <v>0</v>
      </c>
      <c r="AK22" t="s">
        <v>45</v>
      </c>
      <c r="AL22" s="70">
        <v>2700</v>
      </c>
      <c r="AM22">
        <v>216</v>
      </c>
    </row>
    <row r="23" spans="1:39" ht="15" customHeight="1">
      <c r="A23" s="2" t="s">
        <v>46</v>
      </c>
      <c r="B23" s="2" t="s">
        <v>35</v>
      </c>
      <c r="C23" s="2" t="s">
        <v>33</v>
      </c>
      <c r="D23" s="2" t="s">
        <v>29</v>
      </c>
      <c r="E23" s="5">
        <v>3798.32</v>
      </c>
      <c r="F23" s="126">
        <v>0</v>
      </c>
      <c r="G23" s="126"/>
      <c r="H23" s="10">
        <v>0</v>
      </c>
      <c r="I23" s="3">
        <v>0</v>
      </c>
      <c r="J23" s="3">
        <v>303.86559999999997</v>
      </c>
      <c r="K23" s="3">
        <v>0</v>
      </c>
      <c r="L23" s="3">
        <v>0</v>
      </c>
      <c r="M23" s="3">
        <v>0</v>
      </c>
      <c r="N23" s="3">
        <v>3798.32</v>
      </c>
      <c r="O23" s="3">
        <v>0</v>
      </c>
      <c r="P23" s="3">
        <v>344.38</v>
      </c>
      <c r="Q23" s="3">
        <v>0</v>
      </c>
      <c r="R23" s="3">
        <v>0</v>
      </c>
      <c r="S23" s="3">
        <v>759.66399999999999</v>
      </c>
      <c r="T23" s="3">
        <v>113.9496</v>
      </c>
      <c r="U23" s="3">
        <v>220.30256</v>
      </c>
      <c r="V23" s="3">
        <v>1438.2961600000001</v>
      </c>
      <c r="W23" s="3">
        <v>3798.32</v>
      </c>
      <c r="X23" s="3">
        <v>0</v>
      </c>
      <c r="Y23" s="3">
        <v>0</v>
      </c>
      <c r="Z23" s="3">
        <v>0</v>
      </c>
      <c r="AA23" s="3">
        <v>0</v>
      </c>
      <c r="AB23" s="13">
        <f t="shared" si="1"/>
        <v>0</v>
      </c>
      <c r="AC23" s="13">
        <f t="shared" si="2"/>
        <v>0</v>
      </c>
      <c r="AD23" s="63" t="s">
        <v>46</v>
      </c>
      <c r="AE23" s="64">
        <v>3798.32</v>
      </c>
      <c r="AF23" s="64">
        <v>0</v>
      </c>
      <c r="AG23" s="64">
        <v>344.38</v>
      </c>
      <c r="AH23" s="64">
        <v>0</v>
      </c>
      <c r="AI23" s="13">
        <f t="shared" si="5"/>
        <v>0</v>
      </c>
      <c r="AJ23" s="13">
        <f t="shared" si="6"/>
        <v>5.599999999958527E-3</v>
      </c>
      <c r="AK23" t="s">
        <v>46</v>
      </c>
      <c r="AL23" s="70">
        <v>3798.32</v>
      </c>
      <c r="AM23">
        <v>303.86</v>
      </c>
    </row>
    <row r="24" spans="1:39" ht="15" customHeight="1">
      <c r="A24" s="2" t="s">
        <v>47</v>
      </c>
      <c r="B24" s="2" t="s">
        <v>48</v>
      </c>
      <c r="C24" s="2" t="s">
        <v>33</v>
      </c>
      <c r="D24" s="2" t="s">
        <v>29</v>
      </c>
      <c r="E24" s="5">
        <v>2161.4899999999998</v>
      </c>
      <c r="F24" s="126">
        <v>0</v>
      </c>
      <c r="G24" s="126"/>
      <c r="H24" s="10">
        <v>0</v>
      </c>
      <c r="I24" s="3">
        <v>0</v>
      </c>
      <c r="J24" s="3">
        <v>172.91919999999999</v>
      </c>
      <c r="K24" s="3">
        <v>0</v>
      </c>
      <c r="L24" s="3">
        <v>0</v>
      </c>
      <c r="M24" s="3">
        <v>0</v>
      </c>
      <c r="N24" s="3">
        <v>2161.4899999999998</v>
      </c>
      <c r="O24" s="3">
        <v>0</v>
      </c>
      <c r="P24" s="3">
        <v>170.21</v>
      </c>
      <c r="Q24" s="3">
        <v>0</v>
      </c>
      <c r="R24" s="3">
        <v>0</v>
      </c>
      <c r="S24" s="3">
        <v>432.298</v>
      </c>
      <c r="T24" s="3">
        <v>64.844700000000003</v>
      </c>
      <c r="U24" s="3">
        <v>125.36642000000001</v>
      </c>
      <c r="V24" s="3">
        <v>792.71911999999998</v>
      </c>
      <c r="W24" s="3">
        <v>2161.4899999999998</v>
      </c>
      <c r="X24" s="3">
        <v>0</v>
      </c>
      <c r="Y24" s="3">
        <v>0</v>
      </c>
      <c r="Z24" s="3">
        <v>0</v>
      </c>
      <c r="AA24" s="3">
        <v>0</v>
      </c>
      <c r="AB24" s="13">
        <f t="shared" si="1"/>
        <v>0</v>
      </c>
      <c r="AC24" s="13">
        <f t="shared" si="2"/>
        <v>0</v>
      </c>
      <c r="AD24" s="61" t="s">
        <v>47</v>
      </c>
      <c r="AE24" s="62">
        <v>2161.4899999999998</v>
      </c>
      <c r="AF24" s="62">
        <v>0</v>
      </c>
      <c r="AG24" s="62">
        <v>170.21</v>
      </c>
      <c r="AH24" s="62">
        <v>0</v>
      </c>
      <c r="AI24" s="13">
        <f t="shared" si="5"/>
        <v>0</v>
      </c>
      <c r="AJ24" s="13">
        <f t="shared" si="6"/>
        <v>9.1999999999927695E-3</v>
      </c>
      <c r="AK24" t="s">
        <v>47</v>
      </c>
      <c r="AL24" s="70">
        <v>2161.4899999999998</v>
      </c>
      <c r="AM24">
        <v>172.91</v>
      </c>
    </row>
    <row r="25" spans="1:39" ht="15" customHeight="1">
      <c r="A25" s="2" t="s">
        <v>49</v>
      </c>
      <c r="B25" s="2" t="s">
        <v>50</v>
      </c>
      <c r="C25" s="2" t="s">
        <v>33</v>
      </c>
      <c r="D25" s="2" t="s">
        <v>29</v>
      </c>
      <c r="E25" s="5">
        <v>3560.44</v>
      </c>
      <c r="F25" s="126">
        <v>0</v>
      </c>
      <c r="G25" s="126"/>
      <c r="H25" s="10">
        <v>0</v>
      </c>
      <c r="I25" s="3">
        <v>0</v>
      </c>
      <c r="J25" s="3">
        <v>284.83519999999999</v>
      </c>
      <c r="K25" s="3">
        <v>0</v>
      </c>
      <c r="L25" s="3">
        <v>0</v>
      </c>
      <c r="M25" s="3">
        <v>0</v>
      </c>
      <c r="N25" s="3">
        <v>3560.44</v>
      </c>
      <c r="O25" s="3">
        <v>0</v>
      </c>
      <c r="P25" s="3">
        <v>315.83999999999997</v>
      </c>
      <c r="Q25" s="3">
        <v>0</v>
      </c>
      <c r="R25" s="3">
        <v>0</v>
      </c>
      <c r="S25" s="3">
        <v>712.08799999999997</v>
      </c>
      <c r="T25" s="3">
        <v>106.81319999999999</v>
      </c>
      <c r="U25" s="3">
        <v>206.50551999999999</v>
      </c>
      <c r="V25" s="3">
        <v>1341.2467200000001</v>
      </c>
      <c r="W25" s="3">
        <v>3560.44</v>
      </c>
      <c r="X25" s="3">
        <v>0</v>
      </c>
      <c r="Y25" s="3">
        <v>0</v>
      </c>
      <c r="Z25" s="3">
        <v>0</v>
      </c>
      <c r="AA25" s="3">
        <v>0</v>
      </c>
      <c r="AB25" s="13">
        <f t="shared" si="1"/>
        <v>0</v>
      </c>
      <c r="AC25" s="13">
        <f t="shared" si="2"/>
        <v>0</v>
      </c>
      <c r="AD25" s="59" t="s">
        <v>49</v>
      </c>
      <c r="AE25" s="60">
        <v>3560.44</v>
      </c>
      <c r="AF25" s="60">
        <v>0</v>
      </c>
      <c r="AG25" s="60">
        <v>315.83999999999997</v>
      </c>
      <c r="AH25" s="60">
        <v>0</v>
      </c>
      <c r="AI25" s="13">
        <f t="shared" si="5"/>
        <v>0</v>
      </c>
      <c r="AJ25" s="13">
        <f t="shared" si="6"/>
        <v>5.2000000000020918E-3</v>
      </c>
      <c r="AK25" t="s">
        <v>49</v>
      </c>
      <c r="AL25" s="70">
        <v>3560.44</v>
      </c>
      <c r="AM25">
        <v>284.83</v>
      </c>
    </row>
    <row r="26" spans="1:39" ht="15" customHeight="1">
      <c r="A26" s="2" t="s">
        <v>51</v>
      </c>
      <c r="B26" s="2" t="s">
        <v>42</v>
      </c>
      <c r="C26" s="2" t="s">
        <v>33</v>
      </c>
      <c r="D26" s="2" t="s">
        <v>29</v>
      </c>
      <c r="E26" s="5">
        <v>1606.37</v>
      </c>
      <c r="F26" s="126">
        <v>0</v>
      </c>
      <c r="G26" s="126"/>
      <c r="H26" s="10">
        <v>0</v>
      </c>
      <c r="I26" s="3">
        <v>0</v>
      </c>
      <c r="J26" s="3">
        <v>128.50960000000001</v>
      </c>
      <c r="K26" s="3">
        <v>0</v>
      </c>
      <c r="L26" s="3">
        <v>0</v>
      </c>
      <c r="M26" s="3">
        <v>0</v>
      </c>
      <c r="N26" s="3">
        <v>1606.37</v>
      </c>
      <c r="O26" s="3">
        <v>0</v>
      </c>
      <c r="P26" s="3">
        <v>120.47</v>
      </c>
      <c r="Q26" s="3">
        <v>0</v>
      </c>
      <c r="R26" s="3">
        <v>0</v>
      </c>
      <c r="S26" s="3">
        <v>321.274</v>
      </c>
      <c r="T26" s="3">
        <v>48.191099999999999</v>
      </c>
      <c r="U26" s="3">
        <v>93.169460000000001</v>
      </c>
      <c r="V26" s="3">
        <v>583.10455999999999</v>
      </c>
      <c r="W26" s="3">
        <v>1606.37</v>
      </c>
      <c r="X26" s="3">
        <v>0</v>
      </c>
      <c r="Y26" s="3">
        <v>0</v>
      </c>
      <c r="Z26" s="3">
        <v>0</v>
      </c>
      <c r="AA26" s="3">
        <v>0</v>
      </c>
      <c r="AB26" s="13">
        <f t="shared" si="1"/>
        <v>0</v>
      </c>
      <c r="AC26" s="13">
        <f t="shared" si="2"/>
        <v>0</v>
      </c>
      <c r="AD26" s="65" t="s">
        <v>51</v>
      </c>
      <c r="AE26" s="66">
        <v>1606.37</v>
      </c>
      <c r="AF26" s="66">
        <v>0</v>
      </c>
      <c r="AG26" s="66">
        <v>120.47</v>
      </c>
      <c r="AH26" s="66">
        <v>0</v>
      </c>
      <c r="AI26" s="13">
        <f t="shared" si="5"/>
        <v>0</v>
      </c>
      <c r="AJ26" s="13">
        <f t="shared" si="6"/>
        <v>9.6000000000060481E-3</v>
      </c>
      <c r="AK26" t="s">
        <v>51</v>
      </c>
      <c r="AL26" s="70">
        <v>1606.37</v>
      </c>
      <c r="AM26">
        <v>128.5</v>
      </c>
    </row>
    <row r="27" spans="1:39" ht="15" customHeight="1">
      <c r="A27" s="2" t="s">
        <v>52</v>
      </c>
      <c r="B27" s="2" t="s">
        <v>53</v>
      </c>
      <c r="C27" s="2" t="s">
        <v>33</v>
      </c>
      <c r="D27" s="2" t="s">
        <v>29</v>
      </c>
      <c r="E27" s="5">
        <v>2500</v>
      </c>
      <c r="F27" s="126">
        <v>0</v>
      </c>
      <c r="G27" s="126"/>
      <c r="H27" s="10">
        <v>0</v>
      </c>
      <c r="I27" s="3">
        <v>0</v>
      </c>
      <c r="J27" s="3">
        <v>200</v>
      </c>
      <c r="K27" s="3">
        <v>0</v>
      </c>
      <c r="L27" s="3">
        <v>0</v>
      </c>
      <c r="M27" s="3">
        <v>0</v>
      </c>
      <c r="N27" s="3">
        <v>2500</v>
      </c>
      <c r="O27" s="3">
        <v>0</v>
      </c>
      <c r="P27" s="3">
        <v>200.68</v>
      </c>
      <c r="Q27" s="3">
        <v>0</v>
      </c>
      <c r="R27" s="3">
        <v>0</v>
      </c>
      <c r="S27" s="3">
        <v>500</v>
      </c>
      <c r="T27" s="3">
        <v>75</v>
      </c>
      <c r="U27" s="3">
        <v>145</v>
      </c>
      <c r="V27" s="3">
        <v>920.68</v>
      </c>
      <c r="W27" s="3">
        <v>2500</v>
      </c>
      <c r="X27" s="3">
        <v>0</v>
      </c>
      <c r="Y27" s="3">
        <v>0</v>
      </c>
      <c r="Z27" s="3">
        <v>0</v>
      </c>
      <c r="AA27" s="3">
        <v>0</v>
      </c>
      <c r="AB27" s="13">
        <f t="shared" si="1"/>
        <v>0</v>
      </c>
      <c r="AC27" s="13">
        <f t="shared" si="2"/>
        <v>0</v>
      </c>
      <c r="AD27" s="59" t="s">
        <v>52</v>
      </c>
      <c r="AE27" s="60">
        <v>2500</v>
      </c>
      <c r="AF27" s="60">
        <v>0</v>
      </c>
      <c r="AG27" s="60">
        <v>200.68</v>
      </c>
      <c r="AH27" s="60">
        <v>0</v>
      </c>
      <c r="AI27" s="13">
        <f t="shared" si="5"/>
        <v>0</v>
      </c>
      <c r="AJ27" s="13">
        <f t="shared" si="6"/>
        <v>0</v>
      </c>
      <c r="AK27" t="s">
        <v>52</v>
      </c>
      <c r="AL27" s="70">
        <v>2500</v>
      </c>
      <c r="AM27">
        <v>200</v>
      </c>
    </row>
    <row r="28" spans="1:39" ht="15" customHeight="1">
      <c r="A28" s="2" t="s">
        <v>54</v>
      </c>
      <c r="B28" s="2" t="s">
        <v>55</v>
      </c>
      <c r="C28" s="2" t="s">
        <v>33</v>
      </c>
      <c r="D28" s="2" t="s">
        <v>29</v>
      </c>
      <c r="E28" s="5">
        <v>7907.32</v>
      </c>
      <c r="F28" s="126">
        <v>0</v>
      </c>
      <c r="G28" s="126"/>
      <c r="H28" s="10">
        <v>0</v>
      </c>
      <c r="I28" s="3">
        <v>0</v>
      </c>
      <c r="J28" s="3">
        <v>632.5856</v>
      </c>
      <c r="K28" s="3">
        <v>0</v>
      </c>
      <c r="L28" s="3">
        <v>0</v>
      </c>
      <c r="M28" s="3">
        <v>0</v>
      </c>
      <c r="N28" s="3">
        <v>7907.32</v>
      </c>
      <c r="O28" s="3">
        <v>0</v>
      </c>
      <c r="P28" s="3">
        <v>908.52</v>
      </c>
      <c r="Q28" s="3">
        <v>0</v>
      </c>
      <c r="R28" s="3">
        <v>0</v>
      </c>
      <c r="S28" s="3">
        <v>1581.4639999999999</v>
      </c>
      <c r="T28" s="3">
        <v>237.21960000000001</v>
      </c>
      <c r="U28" s="3">
        <v>458.62455999999997</v>
      </c>
      <c r="V28" s="3">
        <v>3185.82816</v>
      </c>
      <c r="W28" s="3">
        <v>7907.32</v>
      </c>
      <c r="X28" s="3">
        <v>0</v>
      </c>
      <c r="Y28" s="3">
        <v>963.8</v>
      </c>
      <c r="Z28" s="3">
        <v>0</v>
      </c>
      <c r="AA28" s="3">
        <v>0</v>
      </c>
      <c r="AB28" s="13">
        <f t="shared" si="1"/>
        <v>0</v>
      </c>
      <c r="AC28" s="13">
        <f t="shared" si="2"/>
        <v>0</v>
      </c>
      <c r="AD28" s="61" t="s">
        <v>54</v>
      </c>
      <c r="AE28" s="62">
        <v>7907.32</v>
      </c>
      <c r="AF28" s="62">
        <v>0</v>
      </c>
      <c r="AG28" s="62">
        <v>908.52</v>
      </c>
      <c r="AH28" s="62">
        <v>0</v>
      </c>
      <c r="AI28" s="13">
        <f t="shared" si="5"/>
        <v>0</v>
      </c>
      <c r="AJ28" s="13">
        <f t="shared" si="6"/>
        <v>5.599999999958527E-3</v>
      </c>
      <c r="AK28" t="s">
        <v>54</v>
      </c>
      <c r="AL28" s="70">
        <v>7907.32</v>
      </c>
      <c r="AM28">
        <v>632.58000000000004</v>
      </c>
    </row>
    <row r="29" spans="1:39" ht="15" customHeight="1">
      <c r="A29" s="71" t="s">
        <v>56</v>
      </c>
      <c r="B29" s="71" t="s">
        <v>57</v>
      </c>
      <c r="C29" s="71" t="s">
        <v>28</v>
      </c>
      <c r="D29" s="71" t="s">
        <v>29</v>
      </c>
      <c r="E29" s="72">
        <v>142.71</v>
      </c>
      <c r="F29" s="127">
        <v>0</v>
      </c>
      <c r="G29" s="127"/>
      <c r="H29" s="74">
        <v>0</v>
      </c>
      <c r="I29" s="73">
        <v>0</v>
      </c>
      <c r="J29" s="73">
        <v>11.4168</v>
      </c>
      <c r="K29" s="73">
        <v>0</v>
      </c>
      <c r="L29" s="73">
        <v>0</v>
      </c>
      <c r="M29" s="73">
        <v>0</v>
      </c>
      <c r="N29" s="73">
        <v>142.71</v>
      </c>
      <c r="O29" s="73">
        <v>0</v>
      </c>
      <c r="P29" s="73">
        <v>10.7</v>
      </c>
      <c r="Q29" s="73">
        <v>0</v>
      </c>
      <c r="R29" s="73">
        <v>0</v>
      </c>
      <c r="S29" s="3">
        <v>28.542000000000002</v>
      </c>
      <c r="T29" s="3">
        <v>4.2812999999999999</v>
      </c>
      <c r="U29" s="3">
        <v>8.2771799999999995</v>
      </c>
      <c r="V29" s="3">
        <v>51.80048</v>
      </c>
      <c r="W29" s="3">
        <v>142.71</v>
      </c>
      <c r="X29" s="3">
        <v>0</v>
      </c>
      <c r="Y29" s="3">
        <v>0</v>
      </c>
      <c r="Z29" s="3">
        <v>0</v>
      </c>
      <c r="AA29" s="3">
        <v>0</v>
      </c>
      <c r="AB29" s="13">
        <f t="shared" si="1"/>
        <v>0</v>
      </c>
      <c r="AC29" s="13">
        <f t="shared" si="2"/>
        <v>0</v>
      </c>
      <c r="AD29" s="59" t="s">
        <v>56</v>
      </c>
      <c r="AE29" s="60">
        <v>142.71</v>
      </c>
      <c r="AF29" s="60">
        <v>0</v>
      </c>
      <c r="AG29" s="60">
        <v>10.7</v>
      </c>
      <c r="AH29" s="60">
        <v>0</v>
      </c>
      <c r="AI29" s="13">
        <f t="shared" si="5"/>
        <v>0</v>
      </c>
      <c r="AJ29" s="13">
        <f t="shared" si="6"/>
        <v>6.8000000000001393E-3</v>
      </c>
      <c r="AK29" t="s">
        <v>56</v>
      </c>
      <c r="AL29">
        <v>142.71</v>
      </c>
      <c r="AM29">
        <v>11.41</v>
      </c>
    </row>
    <row r="30" spans="1:39" ht="15" customHeight="1">
      <c r="A30" s="2" t="s">
        <v>58</v>
      </c>
      <c r="B30" s="2" t="s">
        <v>50</v>
      </c>
      <c r="C30" s="2" t="s">
        <v>33</v>
      </c>
      <c r="D30" s="2" t="s">
        <v>29</v>
      </c>
      <c r="E30" s="5">
        <v>1990.05</v>
      </c>
      <c r="F30" s="126">
        <v>0</v>
      </c>
      <c r="G30" s="126"/>
      <c r="H30" s="10">
        <v>0</v>
      </c>
      <c r="I30" s="3">
        <v>0</v>
      </c>
      <c r="J30" s="3">
        <v>159.20400000000001</v>
      </c>
      <c r="K30" s="3">
        <v>0</v>
      </c>
      <c r="L30" s="3">
        <v>0</v>
      </c>
      <c r="M30" s="3">
        <v>0</v>
      </c>
      <c r="N30" s="3">
        <v>1990.05</v>
      </c>
      <c r="O30" s="3">
        <v>0</v>
      </c>
      <c r="P30" s="3">
        <v>154.78</v>
      </c>
      <c r="Q30" s="3">
        <v>0</v>
      </c>
      <c r="R30" s="3">
        <v>0</v>
      </c>
      <c r="S30" s="3">
        <v>398.01</v>
      </c>
      <c r="T30" s="3">
        <v>59.701500000000003</v>
      </c>
      <c r="U30" s="3">
        <v>115.4229</v>
      </c>
      <c r="V30" s="3">
        <v>727.9144</v>
      </c>
      <c r="W30" s="3">
        <v>1990.05</v>
      </c>
      <c r="X30" s="3">
        <v>0</v>
      </c>
      <c r="Y30" s="3">
        <v>0</v>
      </c>
      <c r="Z30" s="3">
        <v>0</v>
      </c>
      <c r="AA30" s="3">
        <v>0</v>
      </c>
      <c r="AB30" s="13">
        <f t="shared" si="1"/>
        <v>0</v>
      </c>
      <c r="AC30" s="13">
        <f t="shared" si="2"/>
        <v>0</v>
      </c>
      <c r="AD30" s="61" t="s">
        <v>58</v>
      </c>
      <c r="AE30" s="62">
        <v>1990.05</v>
      </c>
      <c r="AF30" s="62">
        <v>0</v>
      </c>
      <c r="AG30" s="62">
        <v>154.78</v>
      </c>
      <c r="AH30" s="62">
        <v>0</v>
      </c>
      <c r="AI30" s="13">
        <f t="shared" si="5"/>
        <v>0</v>
      </c>
      <c r="AJ30" s="13">
        <f t="shared" si="6"/>
        <v>4.0000000000190994E-3</v>
      </c>
      <c r="AK30" t="s">
        <v>58</v>
      </c>
      <c r="AL30" s="70">
        <v>1990.05</v>
      </c>
      <c r="AM30">
        <v>159.19999999999999</v>
      </c>
    </row>
    <row r="31" spans="1:39" ht="15" customHeight="1">
      <c r="A31" s="2" t="s">
        <v>59</v>
      </c>
      <c r="B31" s="2" t="s">
        <v>48</v>
      </c>
      <c r="C31" s="2" t="s">
        <v>33</v>
      </c>
      <c r="D31" s="2" t="s">
        <v>29</v>
      </c>
      <c r="E31" s="5">
        <v>2068.35</v>
      </c>
      <c r="F31" s="126">
        <v>0</v>
      </c>
      <c r="G31" s="126"/>
      <c r="H31" s="10">
        <v>0</v>
      </c>
      <c r="I31" s="3">
        <v>0</v>
      </c>
      <c r="J31" s="3">
        <v>165.46799999999999</v>
      </c>
      <c r="K31" s="3">
        <v>0</v>
      </c>
      <c r="L31" s="3">
        <v>0</v>
      </c>
      <c r="M31" s="3">
        <v>0</v>
      </c>
      <c r="N31" s="3">
        <v>2068.35</v>
      </c>
      <c r="O31" s="3">
        <v>0</v>
      </c>
      <c r="P31" s="3">
        <v>161.83000000000001</v>
      </c>
      <c r="Q31" s="3">
        <v>0</v>
      </c>
      <c r="R31" s="3">
        <v>0</v>
      </c>
      <c r="S31" s="3">
        <v>413.67</v>
      </c>
      <c r="T31" s="3">
        <v>62.0505</v>
      </c>
      <c r="U31" s="3">
        <v>119.96429999999999</v>
      </c>
      <c r="V31" s="3">
        <v>757.51480000000004</v>
      </c>
      <c r="W31" s="3">
        <v>2068.35</v>
      </c>
      <c r="X31" s="3">
        <v>0</v>
      </c>
      <c r="Y31" s="3">
        <v>0</v>
      </c>
      <c r="Z31" s="3">
        <v>0</v>
      </c>
      <c r="AA31" s="3">
        <v>0</v>
      </c>
      <c r="AB31" s="13">
        <f t="shared" si="1"/>
        <v>0</v>
      </c>
      <c r="AC31" s="13">
        <f t="shared" si="2"/>
        <v>0</v>
      </c>
      <c r="AD31" s="59" t="s">
        <v>59</v>
      </c>
      <c r="AE31" s="60">
        <v>2068.35</v>
      </c>
      <c r="AF31" s="60">
        <v>0</v>
      </c>
      <c r="AG31" s="60">
        <v>161.83000000000001</v>
      </c>
      <c r="AH31" s="60">
        <v>0</v>
      </c>
      <c r="AI31" s="13">
        <f t="shared" si="5"/>
        <v>0</v>
      </c>
      <c r="AJ31" s="13">
        <f t="shared" si="6"/>
        <v>7.9999999999813554E-3</v>
      </c>
      <c r="AK31" t="s">
        <v>59</v>
      </c>
      <c r="AL31" s="70">
        <v>2068.35</v>
      </c>
      <c r="AM31">
        <v>165.46</v>
      </c>
    </row>
    <row r="32" spans="1:39" ht="15" customHeight="1">
      <c r="A32" s="2" t="s">
        <v>60</v>
      </c>
      <c r="B32" s="2" t="s">
        <v>42</v>
      </c>
      <c r="C32" s="2" t="s">
        <v>33</v>
      </c>
      <c r="D32" s="2" t="s">
        <v>29</v>
      </c>
      <c r="E32" s="5">
        <v>846.66</v>
      </c>
      <c r="F32" s="126">
        <v>0</v>
      </c>
      <c r="G32" s="126"/>
      <c r="H32" s="10">
        <v>0</v>
      </c>
      <c r="I32" s="3">
        <v>0</v>
      </c>
      <c r="J32" s="3">
        <v>67.732799999999997</v>
      </c>
      <c r="K32" s="3">
        <v>0</v>
      </c>
      <c r="L32" s="3">
        <v>0</v>
      </c>
      <c r="M32" s="3">
        <v>0</v>
      </c>
      <c r="N32" s="3">
        <v>846.66</v>
      </c>
      <c r="O32" s="3">
        <v>0</v>
      </c>
      <c r="P32" s="3">
        <v>63.49</v>
      </c>
      <c r="Q32" s="3">
        <v>0</v>
      </c>
      <c r="R32" s="3">
        <v>0</v>
      </c>
      <c r="S32" s="3">
        <v>169.33199999999999</v>
      </c>
      <c r="T32" s="3">
        <v>25.399799999999999</v>
      </c>
      <c r="U32" s="3">
        <v>49.106279999999998</v>
      </c>
      <c r="V32" s="3">
        <v>307.32808</v>
      </c>
      <c r="W32" s="3">
        <v>846.66</v>
      </c>
      <c r="X32" s="3">
        <v>0</v>
      </c>
      <c r="Y32" s="3">
        <v>0</v>
      </c>
      <c r="Z32" s="3">
        <v>0</v>
      </c>
      <c r="AA32" s="3">
        <v>0</v>
      </c>
      <c r="AB32" s="13">
        <f t="shared" si="1"/>
        <v>0</v>
      </c>
      <c r="AC32" s="13">
        <f t="shared" si="2"/>
        <v>0</v>
      </c>
      <c r="AD32" s="61" t="s">
        <v>60</v>
      </c>
      <c r="AE32" s="62">
        <v>846.66</v>
      </c>
      <c r="AF32" s="62">
        <v>0</v>
      </c>
      <c r="AG32" s="62">
        <v>63.49</v>
      </c>
      <c r="AH32" s="62">
        <v>0</v>
      </c>
      <c r="AI32" s="13">
        <f t="shared" si="5"/>
        <v>0</v>
      </c>
      <c r="AJ32" s="13">
        <f t="shared" si="6"/>
        <v>2.7999999999934744E-3</v>
      </c>
      <c r="AK32" t="s">
        <v>60</v>
      </c>
      <c r="AL32">
        <v>846.66</v>
      </c>
      <c r="AM32">
        <v>67.73</v>
      </c>
    </row>
    <row r="33" spans="1:39" ht="15" customHeight="1">
      <c r="A33" s="2" t="s">
        <v>61</v>
      </c>
      <c r="B33" s="2" t="s">
        <v>44</v>
      </c>
      <c r="C33" s="2" t="s">
        <v>33</v>
      </c>
      <c r="D33" s="2" t="s">
        <v>29</v>
      </c>
      <c r="E33" s="5">
        <v>3683.68</v>
      </c>
      <c r="F33" s="126">
        <v>0</v>
      </c>
      <c r="G33" s="126"/>
      <c r="H33" s="10">
        <v>0</v>
      </c>
      <c r="I33" s="3">
        <v>0</v>
      </c>
      <c r="J33" s="3">
        <v>294.69439999999997</v>
      </c>
      <c r="K33" s="3">
        <v>0</v>
      </c>
      <c r="L33" s="3">
        <v>0</v>
      </c>
      <c r="M33" s="3">
        <v>0</v>
      </c>
      <c r="N33" s="3">
        <v>3683.68</v>
      </c>
      <c r="O33" s="3">
        <v>0</v>
      </c>
      <c r="P33" s="3">
        <v>330.63</v>
      </c>
      <c r="Q33" s="3">
        <v>0</v>
      </c>
      <c r="R33" s="3">
        <v>0</v>
      </c>
      <c r="S33" s="3">
        <v>736.73599999999999</v>
      </c>
      <c r="T33" s="3">
        <v>110.5104</v>
      </c>
      <c r="U33" s="3">
        <v>213.65343999999999</v>
      </c>
      <c r="V33" s="3">
        <v>1391.5298399999999</v>
      </c>
      <c r="W33" s="3">
        <v>3683.68</v>
      </c>
      <c r="X33" s="3">
        <v>0</v>
      </c>
      <c r="Y33" s="3">
        <v>0</v>
      </c>
      <c r="Z33" s="3">
        <v>0</v>
      </c>
      <c r="AA33" s="3">
        <v>0</v>
      </c>
      <c r="AB33" s="13">
        <f t="shared" si="1"/>
        <v>0</v>
      </c>
      <c r="AC33" s="13">
        <f t="shared" si="2"/>
        <v>0</v>
      </c>
      <c r="AD33" s="63" t="s">
        <v>61</v>
      </c>
      <c r="AE33" s="64">
        <v>3683.68</v>
      </c>
      <c r="AF33" s="64">
        <v>0</v>
      </c>
      <c r="AG33" s="64">
        <v>330.63</v>
      </c>
      <c r="AH33" s="64">
        <v>0</v>
      </c>
      <c r="AI33" s="13">
        <f t="shared" si="5"/>
        <v>0</v>
      </c>
      <c r="AJ33" s="13">
        <f t="shared" si="6"/>
        <v>4.3999999999755346E-3</v>
      </c>
      <c r="AK33" t="s">
        <v>61</v>
      </c>
      <c r="AL33" s="70">
        <v>3683.68</v>
      </c>
      <c r="AM33">
        <v>294.69</v>
      </c>
    </row>
    <row r="34" spans="1:39" ht="15" customHeight="1">
      <c r="A34" s="2" t="s">
        <v>62</v>
      </c>
      <c r="B34" s="2" t="s">
        <v>42</v>
      </c>
      <c r="C34" s="2" t="s">
        <v>33</v>
      </c>
      <c r="D34" s="2" t="s">
        <v>29</v>
      </c>
      <c r="E34" s="5">
        <v>1869.57</v>
      </c>
      <c r="F34" s="126">
        <v>0</v>
      </c>
      <c r="G34" s="126"/>
      <c r="H34" s="10">
        <v>0</v>
      </c>
      <c r="I34" s="3">
        <v>0</v>
      </c>
      <c r="J34" s="3">
        <v>149.56559999999999</v>
      </c>
      <c r="K34" s="3">
        <v>0</v>
      </c>
      <c r="L34" s="3">
        <v>0</v>
      </c>
      <c r="M34" s="3">
        <v>0</v>
      </c>
      <c r="N34" s="3">
        <v>1869.57</v>
      </c>
      <c r="O34" s="3">
        <v>0</v>
      </c>
      <c r="P34" s="3">
        <v>143.94</v>
      </c>
      <c r="Q34" s="3">
        <v>0</v>
      </c>
      <c r="R34" s="3">
        <v>0</v>
      </c>
      <c r="S34" s="3">
        <v>373.91399999999999</v>
      </c>
      <c r="T34" s="3">
        <v>56.0871</v>
      </c>
      <c r="U34" s="3">
        <v>108.43505999999999</v>
      </c>
      <c r="V34" s="3">
        <v>682.37616000000003</v>
      </c>
      <c r="W34" s="3">
        <v>1869.57</v>
      </c>
      <c r="X34" s="3">
        <v>0</v>
      </c>
      <c r="Y34" s="3">
        <v>0</v>
      </c>
      <c r="Z34" s="3">
        <v>0</v>
      </c>
      <c r="AA34" s="3">
        <v>0</v>
      </c>
      <c r="AB34" s="13">
        <f t="shared" si="1"/>
        <v>0</v>
      </c>
      <c r="AC34" s="13">
        <f t="shared" si="2"/>
        <v>0</v>
      </c>
      <c r="AD34" s="61" t="s">
        <v>62</v>
      </c>
      <c r="AE34" s="62">
        <v>1869.57</v>
      </c>
      <c r="AF34" s="62">
        <v>0</v>
      </c>
      <c r="AG34" s="62">
        <v>143.94</v>
      </c>
      <c r="AH34" s="62">
        <v>0</v>
      </c>
      <c r="AI34" s="13">
        <f t="shared" si="5"/>
        <v>0</v>
      </c>
      <c r="AJ34" s="13">
        <f t="shared" si="6"/>
        <v>5.5999999999869488E-3</v>
      </c>
      <c r="AK34" t="s">
        <v>62</v>
      </c>
      <c r="AL34" s="70">
        <v>1869.57</v>
      </c>
      <c r="AM34">
        <v>149.56</v>
      </c>
    </row>
    <row r="35" spans="1:39" ht="15" customHeight="1">
      <c r="A35" s="2" t="s">
        <v>63</v>
      </c>
      <c r="B35" s="2" t="s">
        <v>57</v>
      </c>
      <c r="C35" s="2" t="s">
        <v>33</v>
      </c>
      <c r="D35" s="2" t="s">
        <v>29</v>
      </c>
      <c r="E35" s="5">
        <v>1145.97</v>
      </c>
      <c r="F35" s="126">
        <v>0</v>
      </c>
      <c r="G35" s="126"/>
      <c r="H35" s="10">
        <v>0</v>
      </c>
      <c r="I35" s="3">
        <v>0</v>
      </c>
      <c r="J35" s="3">
        <v>91.677599999999998</v>
      </c>
      <c r="K35" s="3">
        <v>0</v>
      </c>
      <c r="L35" s="3">
        <v>0</v>
      </c>
      <c r="M35" s="3">
        <v>0</v>
      </c>
      <c r="N35" s="3">
        <v>1145.97</v>
      </c>
      <c r="O35" s="3">
        <v>0</v>
      </c>
      <c r="P35" s="3">
        <v>85.94</v>
      </c>
      <c r="Q35" s="3">
        <v>0</v>
      </c>
      <c r="R35" s="3">
        <v>0</v>
      </c>
      <c r="S35" s="3">
        <v>229.19399999999999</v>
      </c>
      <c r="T35" s="3">
        <v>34.379100000000001</v>
      </c>
      <c r="U35" s="3">
        <v>66.466260000000005</v>
      </c>
      <c r="V35" s="3">
        <v>415.97935999999999</v>
      </c>
      <c r="W35" s="3">
        <v>1145.97</v>
      </c>
      <c r="X35" s="3">
        <v>0</v>
      </c>
      <c r="Y35" s="3">
        <v>0</v>
      </c>
      <c r="Z35" s="3">
        <v>0</v>
      </c>
      <c r="AA35" s="3">
        <v>0</v>
      </c>
      <c r="AB35" s="13">
        <f t="shared" si="1"/>
        <v>0</v>
      </c>
      <c r="AC35" s="13">
        <f t="shared" si="2"/>
        <v>0</v>
      </c>
      <c r="AD35" s="59" t="s">
        <v>63</v>
      </c>
      <c r="AE35" s="60">
        <v>1145.97</v>
      </c>
      <c r="AF35" s="60">
        <v>0</v>
      </c>
      <c r="AG35" s="60">
        <v>85.94</v>
      </c>
      <c r="AH35" s="60">
        <v>0</v>
      </c>
      <c r="AI35" s="13">
        <f t="shared" si="5"/>
        <v>0</v>
      </c>
      <c r="AJ35" s="13">
        <f t="shared" si="6"/>
        <v>7.5999999999964984E-3</v>
      </c>
      <c r="AK35" t="s">
        <v>63</v>
      </c>
      <c r="AL35" s="70">
        <v>1145.97</v>
      </c>
      <c r="AM35">
        <v>91.67</v>
      </c>
    </row>
    <row r="36" spans="1:39" ht="15" customHeight="1">
      <c r="A36" s="2" t="s">
        <v>64</v>
      </c>
      <c r="B36" s="2" t="s">
        <v>65</v>
      </c>
      <c r="C36" s="2" t="s">
        <v>33</v>
      </c>
      <c r="D36" s="2" t="s">
        <v>29</v>
      </c>
      <c r="E36" s="5">
        <v>2090.63</v>
      </c>
      <c r="F36" s="126">
        <v>0</v>
      </c>
      <c r="G36" s="126"/>
      <c r="H36" s="10">
        <v>0</v>
      </c>
      <c r="I36" s="3">
        <v>0</v>
      </c>
      <c r="J36" s="3">
        <v>167.25040000000001</v>
      </c>
      <c r="K36" s="3">
        <v>0</v>
      </c>
      <c r="L36" s="3">
        <v>0</v>
      </c>
      <c r="M36" s="3">
        <v>0</v>
      </c>
      <c r="N36" s="3">
        <v>2090.63</v>
      </c>
      <c r="O36" s="3">
        <v>0</v>
      </c>
      <c r="P36" s="3">
        <v>163.83000000000001</v>
      </c>
      <c r="Q36" s="3">
        <v>0</v>
      </c>
      <c r="R36" s="3">
        <v>0</v>
      </c>
      <c r="S36" s="3">
        <v>418.12599999999998</v>
      </c>
      <c r="T36" s="3">
        <v>62.718899999999998</v>
      </c>
      <c r="U36" s="3">
        <v>121.25654</v>
      </c>
      <c r="V36" s="3">
        <v>765.93143999999995</v>
      </c>
      <c r="W36" s="3">
        <v>2090.63</v>
      </c>
      <c r="X36" s="3">
        <v>0</v>
      </c>
      <c r="Y36" s="3">
        <v>0</v>
      </c>
      <c r="Z36" s="3">
        <v>0</v>
      </c>
      <c r="AA36" s="3">
        <v>0</v>
      </c>
      <c r="AB36" s="13">
        <f t="shared" si="1"/>
        <v>0</v>
      </c>
      <c r="AC36" s="13">
        <f t="shared" si="2"/>
        <v>0</v>
      </c>
      <c r="AD36" s="65" t="s">
        <v>64</v>
      </c>
      <c r="AE36" s="66">
        <v>2090.63</v>
      </c>
      <c r="AF36" s="66">
        <v>0</v>
      </c>
      <c r="AG36" s="66">
        <v>163.83000000000001</v>
      </c>
      <c r="AH36" s="66">
        <v>0</v>
      </c>
      <c r="AI36" s="13">
        <f t="shared" si="5"/>
        <v>0</v>
      </c>
      <c r="AJ36" s="13">
        <f t="shared" si="6"/>
        <v>4.0000000001327862E-4</v>
      </c>
      <c r="AK36" t="s">
        <v>64</v>
      </c>
      <c r="AL36" s="70">
        <v>2090.63</v>
      </c>
      <c r="AM36">
        <v>167.25</v>
      </c>
    </row>
    <row r="37" spans="1:39" ht="15" customHeight="1">
      <c r="A37" s="2" t="s">
        <v>66</v>
      </c>
      <c r="B37" s="2" t="s">
        <v>48</v>
      </c>
      <c r="C37" s="2" t="s">
        <v>33</v>
      </c>
      <c r="D37" s="2" t="s">
        <v>29</v>
      </c>
      <c r="E37" s="5">
        <v>622.77</v>
      </c>
      <c r="F37" s="126">
        <v>0</v>
      </c>
      <c r="G37" s="126"/>
      <c r="H37" s="10">
        <v>0</v>
      </c>
      <c r="I37" s="3">
        <v>0</v>
      </c>
      <c r="J37" s="3">
        <v>49.821599999999997</v>
      </c>
      <c r="K37" s="3">
        <v>0</v>
      </c>
      <c r="L37" s="3">
        <v>0</v>
      </c>
      <c r="M37" s="3">
        <v>0</v>
      </c>
      <c r="N37" s="3">
        <v>622.77</v>
      </c>
      <c r="O37" s="3">
        <v>0</v>
      </c>
      <c r="P37" s="3">
        <v>46.7</v>
      </c>
      <c r="Q37" s="3">
        <v>0</v>
      </c>
      <c r="R37" s="3">
        <v>0</v>
      </c>
      <c r="S37" s="3">
        <v>124.554</v>
      </c>
      <c r="T37" s="3">
        <v>18.6831</v>
      </c>
      <c r="U37" s="3">
        <v>36.120660000000001</v>
      </c>
      <c r="V37" s="3">
        <v>226.05776</v>
      </c>
      <c r="W37" s="3">
        <v>622.77</v>
      </c>
      <c r="X37" s="3">
        <v>0</v>
      </c>
      <c r="Y37" s="3">
        <v>0</v>
      </c>
      <c r="Z37" s="3">
        <v>0</v>
      </c>
      <c r="AA37" s="3">
        <v>0</v>
      </c>
      <c r="AB37" s="13">
        <f t="shared" si="1"/>
        <v>0</v>
      </c>
      <c r="AC37" s="13">
        <f t="shared" si="2"/>
        <v>0</v>
      </c>
      <c r="AD37" s="63" t="s">
        <v>66</v>
      </c>
      <c r="AE37" s="64">
        <v>622.77</v>
      </c>
      <c r="AF37" s="64">
        <v>0</v>
      </c>
      <c r="AG37" s="64">
        <v>46.7</v>
      </c>
      <c r="AH37" s="64">
        <v>0</v>
      </c>
      <c r="AI37" s="13">
        <f t="shared" si="5"/>
        <v>0</v>
      </c>
      <c r="AJ37" s="13">
        <f t="shared" si="6"/>
        <v>1.5999999999962711E-3</v>
      </c>
      <c r="AK37" t="s">
        <v>66</v>
      </c>
      <c r="AL37">
        <v>622.77</v>
      </c>
      <c r="AM37">
        <v>49.82</v>
      </c>
    </row>
    <row r="38" spans="1:39" ht="15" customHeight="1">
      <c r="A38" s="71" t="s">
        <v>67</v>
      </c>
      <c r="B38" s="71" t="s">
        <v>40</v>
      </c>
      <c r="C38" s="71" t="s">
        <v>28</v>
      </c>
      <c r="D38" s="71" t="s">
        <v>29</v>
      </c>
      <c r="E38" s="72">
        <v>493.08</v>
      </c>
      <c r="F38" s="127">
        <v>0</v>
      </c>
      <c r="G38" s="127"/>
      <c r="H38" s="74">
        <v>0</v>
      </c>
      <c r="I38" s="73">
        <v>396.79</v>
      </c>
      <c r="J38" s="73">
        <v>39.446399999999997</v>
      </c>
      <c r="K38" s="73">
        <v>0</v>
      </c>
      <c r="L38" s="73">
        <v>0</v>
      </c>
      <c r="M38" s="73">
        <v>31.743200000000002</v>
      </c>
      <c r="N38" s="73">
        <v>493.08</v>
      </c>
      <c r="O38" s="73">
        <v>396.79</v>
      </c>
      <c r="P38" s="73">
        <v>36.979999999999997</v>
      </c>
      <c r="Q38" s="73">
        <v>29.75</v>
      </c>
      <c r="R38" s="73">
        <v>0</v>
      </c>
      <c r="S38" s="3">
        <v>177.97399999999999</v>
      </c>
      <c r="T38" s="3">
        <v>26.696100000000001</v>
      </c>
      <c r="U38" s="3">
        <v>51.612459999999999</v>
      </c>
      <c r="V38" s="3">
        <v>323.01256000000001</v>
      </c>
      <c r="W38" s="3">
        <v>493.08</v>
      </c>
      <c r="X38" s="3">
        <v>0</v>
      </c>
      <c r="Y38" s="3">
        <v>0</v>
      </c>
      <c r="Z38" s="3">
        <v>0</v>
      </c>
      <c r="AA38" s="3">
        <v>0</v>
      </c>
      <c r="AB38" s="13">
        <f t="shared" si="1"/>
        <v>0</v>
      </c>
      <c r="AC38" s="13">
        <f t="shared" si="2"/>
        <v>0</v>
      </c>
      <c r="AD38" s="61" t="s">
        <v>67</v>
      </c>
      <c r="AE38" s="62">
        <v>493.08</v>
      </c>
      <c r="AF38" s="62">
        <v>396.79</v>
      </c>
      <c r="AG38" s="62">
        <v>36.979999999999997</v>
      </c>
      <c r="AH38" s="62">
        <v>29.75</v>
      </c>
      <c r="AI38" s="13">
        <f t="shared" si="5"/>
        <v>0</v>
      </c>
      <c r="AJ38" s="13">
        <f t="shared" si="6"/>
        <v>9.5999999999918373E-3</v>
      </c>
      <c r="AK38" t="s">
        <v>67</v>
      </c>
      <c r="AL38">
        <v>889.87</v>
      </c>
      <c r="AM38">
        <v>71.180000000000007</v>
      </c>
    </row>
    <row r="39" spans="1:39" ht="15" customHeight="1">
      <c r="A39" s="2" t="s">
        <v>68</v>
      </c>
      <c r="B39" s="2" t="s">
        <v>40</v>
      </c>
      <c r="C39" s="2" t="s">
        <v>33</v>
      </c>
      <c r="D39" s="2" t="s">
        <v>29</v>
      </c>
      <c r="E39" s="5">
        <v>3536.92</v>
      </c>
      <c r="F39" s="126">
        <v>0</v>
      </c>
      <c r="G39" s="126"/>
      <c r="H39" s="10">
        <v>0</v>
      </c>
      <c r="I39" s="3">
        <v>0</v>
      </c>
      <c r="J39" s="3">
        <v>282.95359999999999</v>
      </c>
      <c r="K39" s="3">
        <v>0</v>
      </c>
      <c r="L39" s="3">
        <v>0</v>
      </c>
      <c r="M39" s="3">
        <v>0</v>
      </c>
      <c r="N39" s="3">
        <v>3536.92</v>
      </c>
      <c r="O39" s="3">
        <v>0</v>
      </c>
      <c r="P39" s="3">
        <v>313.01</v>
      </c>
      <c r="Q39" s="3">
        <v>0</v>
      </c>
      <c r="R39" s="3">
        <v>0</v>
      </c>
      <c r="S39" s="3">
        <v>707.38400000000001</v>
      </c>
      <c r="T39" s="3">
        <v>106.10760000000001</v>
      </c>
      <c r="U39" s="3">
        <v>205.14135999999999</v>
      </c>
      <c r="V39" s="3">
        <v>1331.6429599999999</v>
      </c>
      <c r="W39" s="3">
        <v>3536.92</v>
      </c>
      <c r="X39" s="3">
        <v>0</v>
      </c>
      <c r="Y39" s="3">
        <v>0</v>
      </c>
      <c r="Z39" s="3">
        <v>0</v>
      </c>
      <c r="AA39" s="3">
        <v>0</v>
      </c>
      <c r="AB39" s="13">
        <f t="shared" si="1"/>
        <v>0</v>
      </c>
      <c r="AC39" s="13">
        <f t="shared" si="2"/>
        <v>0</v>
      </c>
      <c r="AD39" s="59" t="s">
        <v>68</v>
      </c>
      <c r="AE39" s="60">
        <v>3536.92</v>
      </c>
      <c r="AF39" s="60">
        <v>0</v>
      </c>
      <c r="AG39" s="60">
        <v>313.01</v>
      </c>
      <c r="AH39" s="60">
        <v>0</v>
      </c>
      <c r="AI39" s="13">
        <f t="shared" si="5"/>
        <v>0</v>
      </c>
      <c r="AJ39" s="13">
        <f t="shared" si="6"/>
        <v>3.6000000000058208E-3</v>
      </c>
      <c r="AK39" t="s">
        <v>68</v>
      </c>
      <c r="AL39" s="70">
        <v>3536.92</v>
      </c>
      <c r="AM39">
        <v>282.95</v>
      </c>
    </row>
    <row r="40" spans="1:39" ht="15" customHeight="1">
      <c r="A40" s="2" t="s">
        <v>69</v>
      </c>
      <c r="B40" s="2" t="s">
        <v>48</v>
      </c>
      <c r="C40" s="2" t="s">
        <v>33</v>
      </c>
      <c r="D40" s="2" t="s">
        <v>29</v>
      </c>
      <c r="E40" s="5">
        <v>623.82000000000005</v>
      </c>
      <c r="F40" s="126">
        <v>0</v>
      </c>
      <c r="G40" s="126"/>
      <c r="H40" s="10">
        <v>0</v>
      </c>
      <c r="I40" s="3">
        <v>0</v>
      </c>
      <c r="J40" s="3">
        <v>49.9056</v>
      </c>
      <c r="K40" s="3">
        <v>0</v>
      </c>
      <c r="L40" s="3">
        <v>0</v>
      </c>
      <c r="M40" s="3">
        <v>0</v>
      </c>
      <c r="N40" s="3">
        <v>623.82000000000005</v>
      </c>
      <c r="O40" s="3">
        <v>0</v>
      </c>
      <c r="P40" s="3">
        <v>46.78</v>
      </c>
      <c r="Q40" s="3">
        <v>0</v>
      </c>
      <c r="R40" s="3">
        <v>0</v>
      </c>
      <c r="S40" s="3">
        <v>124.764</v>
      </c>
      <c r="T40" s="3">
        <v>18.714600000000001</v>
      </c>
      <c r="U40" s="3">
        <v>36.181559999999998</v>
      </c>
      <c r="V40" s="3">
        <v>226.44015999999999</v>
      </c>
      <c r="W40" s="3">
        <v>623.82000000000005</v>
      </c>
      <c r="X40" s="3">
        <v>0</v>
      </c>
      <c r="Y40" s="3">
        <v>0</v>
      </c>
      <c r="Z40" s="3">
        <v>0</v>
      </c>
      <c r="AA40" s="3">
        <v>0</v>
      </c>
      <c r="AB40" s="13">
        <f t="shared" si="1"/>
        <v>0</v>
      </c>
      <c r="AC40" s="13">
        <f t="shared" si="2"/>
        <v>0</v>
      </c>
      <c r="AD40" s="65" t="s">
        <v>69</v>
      </c>
      <c r="AE40" s="66">
        <v>623.82000000000005</v>
      </c>
      <c r="AF40" s="66">
        <v>0</v>
      </c>
      <c r="AG40" s="66">
        <v>46.78</v>
      </c>
      <c r="AH40" s="66">
        <v>0</v>
      </c>
      <c r="AI40" s="13">
        <f t="shared" si="5"/>
        <v>0</v>
      </c>
      <c r="AJ40" s="13">
        <f t="shared" si="6"/>
        <v>5.6000000000011596E-3</v>
      </c>
      <c r="AK40" t="s">
        <v>69</v>
      </c>
      <c r="AL40">
        <v>623.82000000000005</v>
      </c>
      <c r="AM40">
        <v>49.9</v>
      </c>
    </row>
    <row r="41" spans="1:39" ht="15" customHeight="1">
      <c r="A41" s="2" t="s">
        <v>70</v>
      </c>
      <c r="B41" s="2" t="s">
        <v>71</v>
      </c>
      <c r="C41" s="2" t="s">
        <v>33</v>
      </c>
      <c r="D41" s="2" t="s">
        <v>29</v>
      </c>
      <c r="E41" s="5">
        <v>3013.01</v>
      </c>
      <c r="F41" s="126">
        <v>0</v>
      </c>
      <c r="G41" s="126"/>
      <c r="H41" s="10">
        <v>0</v>
      </c>
      <c r="I41" s="3">
        <v>0</v>
      </c>
      <c r="J41" s="3">
        <v>241.04079999999999</v>
      </c>
      <c r="K41" s="3">
        <v>0</v>
      </c>
      <c r="L41" s="3">
        <v>0</v>
      </c>
      <c r="M41" s="3">
        <v>0</v>
      </c>
      <c r="N41" s="3">
        <v>3013.01</v>
      </c>
      <c r="O41" s="3">
        <v>0</v>
      </c>
      <c r="P41" s="3">
        <v>250.15</v>
      </c>
      <c r="Q41" s="3">
        <v>0</v>
      </c>
      <c r="R41" s="3">
        <v>0</v>
      </c>
      <c r="S41" s="3">
        <v>602.60199999999998</v>
      </c>
      <c r="T41" s="3">
        <v>90.390299999999996</v>
      </c>
      <c r="U41" s="3">
        <v>174.75458</v>
      </c>
      <c r="V41" s="3">
        <v>1117.89688</v>
      </c>
      <c r="W41" s="3">
        <v>3013.01</v>
      </c>
      <c r="X41" s="3">
        <v>0</v>
      </c>
      <c r="Y41" s="3">
        <v>0</v>
      </c>
      <c r="Z41" s="3">
        <v>0</v>
      </c>
      <c r="AA41" s="3">
        <v>0</v>
      </c>
      <c r="AB41" s="13">
        <f t="shared" si="1"/>
        <v>0</v>
      </c>
      <c r="AC41" s="13">
        <f t="shared" si="2"/>
        <v>0</v>
      </c>
      <c r="AD41" s="59" t="s">
        <v>70</v>
      </c>
      <c r="AE41" s="60">
        <v>3013.01</v>
      </c>
      <c r="AF41" s="60">
        <v>0</v>
      </c>
      <c r="AG41" s="60">
        <v>250.15</v>
      </c>
      <c r="AH41" s="60">
        <v>0</v>
      </c>
      <c r="AI41" s="13">
        <f t="shared" si="5"/>
        <v>0</v>
      </c>
      <c r="AJ41" s="13">
        <f t="shared" si="6"/>
        <v>7.9999999999813554E-4</v>
      </c>
      <c r="AK41" t="s">
        <v>70</v>
      </c>
      <c r="AL41" s="70">
        <v>3013.01</v>
      </c>
      <c r="AM41">
        <v>241.04</v>
      </c>
    </row>
    <row r="42" spans="1:39" ht="15" customHeight="1">
      <c r="A42" s="71" t="s">
        <v>72</v>
      </c>
      <c r="B42" s="71" t="s">
        <v>27</v>
      </c>
      <c r="C42" s="71" t="s">
        <v>28</v>
      </c>
      <c r="D42" s="71" t="s">
        <v>29</v>
      </c>
      <c r="E42" s="72">
        <v>2706.69</v>
      </c>
      <c r="F42" s="127">
        <v>0</v>
      </c>
      <c r="G42" s="127"/>
      <c r="H42" s="74">
        <v>0</v>
      </c>
      <c r="I42" s="73">
        <v>610.23</v>
      </c>
      <c r="J42" s="73">
        <v>216.5352</v>
      </c>
      <c r="K42" s="73">
        <v>0</v>
      </c>
      <c r="L42" s="73">
        <v>0</v>
      </c>
      <c r="M42" s="73">
        <v>48.818399999999997</v>
      </c>
      <c r="N42" s="73">
        <v>2706.69</v>
      </c>
      <c r="O42" s="73">
        <v>610.23</v>
      </c>
      <c r="P42" s="73">
        <v>219.28</v>
      </c>
      <c r="Q42" s="73">
        <v>45.76</v>
      </c>
      <c r="R42" s="73">
        <v>0</v>
      </c>
      <c r="S42" s="3">
        <v>663.38400000000001</v>
      </c>
      <c r="T42" s="3">
        <v>99.507599999999996</v>
      </c>
      <c r="U42" s="3">
        <v>192.38136</v>
      </c>
      <c r="V42" s="3">
        <v>1220.31296</v>
      </c>
      <c r="W42" s="3">
        <v>2706.69</v>
      </c>
      <c r="X42" s="3">
        <v>0</v>
      </c>
      <c r="Y42" s="3">
        <v>0</v>
      </c>
      <c r="Z42" s="3">
        <v>0</v>
      </c>
      <c r="AA42" s="3">
        <v>0</v>
      </c>
      <c r="AB42" s="13">
        <f t="shared" si="1"/>
        <v>0</v>
      </c>
      <c r="AC42" s="13">
        <f t="shared" si="2"/>
        <v>0</v>
      </c>
      <c r="AD42" s="61" t="s">
        <v>72</v>
      </c>
      <c r="AE42" s="62">
        <v>2706.69</v>
      </c>
      <c r="AF42" s="62">
        <v>610.23</v>
      </c>
      <c r="AG42" s="62">
        <v>219.28</v>
      </c>
      <c r="AH42" s="62">
        <v>45.76</v>
      </c>
      <c r="AI42" s="13">
        <f t="shared" ref="AI42:AI44" si="7">(E42+F42+H42+I42)-AL42</f>
        <v>3316.92</v>
      </c>
      <c r="AJ42" s="13">
        <f t="shared" ref="AJ42:AJ44" si="8">(J42+K42+L42+M42)-AM42</f>
        <v>265.35360000000003</v>
      </c>
      <c r="AL42" s="70"/>
    </row>
    <row r="43" spans="1:39" ht="15" customHeight="1">
      <c r="A43" s="2" t="s">
        <v>73</v>
      </c>
      <c r="B43" s="2" t="s">
        <v>48</v>
      </c>
      <c r="C43" s="2" t="s">
        <v>33</v>
      </c>
      <c r="D43" s="2" t="s">
        <v>29</v>
      </c>
      <c r="E43" s="5">
        <v>644.03</v>
      </c>
      <c r="F43" s="126">
        <v>0</v>
      </c>
      <c r="G43" s="126"/>
      <c r="H43" s="10">
        <v>0</v>
      </c>
      <c r="I43" s="3">
        <v>0</v>
      </c>
      <c r="J43" s="3">
        <v>51.522399999999998</v>
      </c>
      <c r="K43" s="3">
        <v>0</v>
      </c>
      <c r="L43" s="3">
        <v>0</v>
      </c>
      <c r="M43" s="3">
        <v>0</v>
      </c>
      <c r="N43" s="3">
        <v>644.03</v>
      </c>
      <c r="O43" s="3">
        <v>0</v>
      </c>
      <c r="P43" s="3">
        <v>48.3</v>
      </c>
      <c r="Q43" s="3">
        <v>0</v>
      </c>
      <c r="R43" s="3">
        <v>0</v>
      </c>
      <c r="S43" s="3">
        <v>128.80600000000001</v>
      </c>
      <c r="T43" s="3">
        <v>19.320900000000002</v>
      </c>
      <c r="U43" s="3">
        <v>37.353740000000002</v>
      </c>
      <c r="V43" s="3">
        <v>233.78064000000001</v>
      </c>
      <c r="W43" s="3">
        <v>644.03</v>
      </c>
      <c r="X43" s="3">
        <v>0</v>
      </c>
      <c r="Y43" s="3">
        <v>0</v>
      </c>
      <c r="Z43" s="3">
        <v>0</v>
      </c>
      <c r="AA43" s="3">
        <v>0</v>
      </c>
      <c r="AB43" s="13">
        <f t="shared" si="1"/>
        <v>0</v>
      </c>
      <c r="AC43" s="13">
        <f t="shared" si="2"/>
        <v>0</v>
      </c>
      <c r="AD43" s="63" t="s">
        <v>73</v>
      </c>
      <c r="AE43" s="64">
        <v>644.03</v>
      </c>
      <c r="AF43" s="64">
        <v>0</v>
      </c>
      <c r="AG43" s="64">
        <v>48.3</v>
      </c>
      <c r="AH43" s="64">
        <v>0</v>
      </c>
      <c r="AI43" s="13">
        <f t="shared" si="7"/>
        <v>0</v>
      </c>
      <c r="AJ43" s="13">
        <f t="shared" si="8"/>
        <v>2.3999999999944066E-3</v>
      </c>
      <c r="AK43" t="s">
        <v>73</v>
      </c>
      <c r="AL43">
        <v>644.03</v>
      </c>
      <c r="AM43">
        <v>51.52</v>
      </c>
    </row>
    <row r="44" spans="1:39" ht="15" customHeight="1">
      <c r="A44" s="71" t="s">
        <v>74</v>
      </c>
      <c r="B44" s="71" t="s">
        <v>27</v>
      </c>
      <c r="C44" s="71" t="s">
        <v>28</v>
      </c>
      <c r="D44" s="71" t="s">
        <v>29</v>
      </c>
      <c r="E44" s="72">
        <v>1551.26</v>
      </c>
      <c r="F44" s="127">
        <v>908.66</v>
      </c>
      <c r="G44" s="127"/>
      <c r="H44" s="74">
        <v>0</v>
      </c>
      <c r="I44" s="73">
        <v>611.41</v>
      </c>
      <c r="J44" s="73">
        <v>124.10080000000001</v>
      </c>
      <c r="K44" s="73">
        <v>72.692800000000005</v>
      </c>
      <c r="L44" s="73">
        <v>0</v>
      </c>
      <c r="M44" s="73">
        <v>48.912799999999997</v>
      </c>
      <c r="N44" s="73">
        <v>1551.26</v>
      </c>
      <c r="O44" s="73">
        <v>611.41</v>
      </c>
      <c r="P44" s="73">
        <v>116.34</v>
      </c>
      <c r="Q44" s="73">
        <v>45.85</v>
      </c>
      <c r="R44" s="73">
        <v>0</v>
      </c>
      <c r="S44" s="3">
        <v>432.53399999999999</v>
      </c>
      <c r="T44" s="3">
        <v>64.880099999999999</v>
      </c>
      <c r="U44" s="3">
        <v>125.43486</v>
      </c>
      <c r="V44" s="3">
        <v>785.03895999999997</v>
      </c>
      <c r="W44" s="3">
        <v>1551.26</v>
      </c>
      <c r="X44" s="3">
        <v>0</v>
      </c>
      <c r="Y44" s="3">
        <v>0</v>
      </c>
      <c r="Z44" s="3">
        <v>0</v>
      </c>
      <c r="AA44" s="3">
        <v>0</v>
      </c>
      <c r="AB44" s="13">
        <f t="shared" si="1"/>
        <v>0</v>
      </c>
      <c r="AC44" s="13">
        <f t="shared" si="2"/>
        <v>0</v>
      </c>
      <c r="AD44" s="61" t="s">
        <v>74</v>
      </c>
      <c r="AE44" s="62">
        <v>1551.26</v>
      </c>
      <c r="AF44" s="62">
        <v>611.41</v>
      </c>
      <c r="AG44" s="62">
        <v>116.34</v>
      </c>
      <c r="AH44" s="62">
        <v>45.85</v>
      </c>
      <c r="AI44" s="13">
        <f t="shared" si="7"/>
        <v>3071.33</v>
      </c>
      <c r="AJ44" s="13">
        <f t="shared" si="8"/>
        <v>245.70640000000003</v>
      </c>
    </row>
    <row r="45" spans="1:39" ht="15" customHeight="1">
      <c r="A45" s="71" t="s">
        <v>75</v>
      </c>
      <c r="B45" s="71" t="s">
        <v>27</v>
      </c>
      <c r="C45" s="71" t="s">
        <v>28</v>
      </c>
      <c r="D45" s="71" t="s">
        <v>29</v>
      </c>
      <c r="E45" s="72">
        <v>1539.48</v>
      </c>
      <c r="F45" s="127">
        <v>618.45000000000005</v>
      </c>
      <c r="G45" s="127"/>
      <c r="H45" s="74">
        <v>0</v>
      </c>
      <c r="I45" s="73">
        <v>606.71</v>
      </c>
      <c r="J45" s="73">
        <v>123.1584</v>
      </c>
      <c r="K45" s="73">
        <v>49.475999999999999</v>
      </c>
      <c r="L45" s="73">
        <v>0</v>
      </c>
      <c r="M45" s="73">
        <v>48.536799999999999</v>
      </c>
      <c r="N45" s="73">
        <v>1539.48</v>
      </c>
      <c r="O45" s="73">
        <v>606.71</v>
      </c>
      <c r="P45" s="73">
        <v>115.46</v>
      </c>
      <c r="Q45" s="73">
        <v>45.5</v>
      </c>
      <c r="R45" s="73">
        <v>0</v>
      </c>
      <c r="S45" s="3">
        <v>429.238</v>
      </c>
      <c r="T45" s="3">
        <v>64.3857</v>
      </c>
      <c r="U45" s="3">
        <v>124.47902000000001</v>
      </c>
      <c r="V45" s="3">
        <v>779.06272000000001</v>
      </c>
      <c r="W45" s="3">
        <v>1539.48</v>
      </c>
      <c r="X45" s="3">
        <v>0</v>
      </c>
      <c r="Y45" s="3">
        <v>0</v>
      </c>
      <c r="Z45" s="3">
        <v>0</v>
      </c>
      <c r="AA45" s="3">
        <v>0</v>
      </c>
      <c r="AB45" s="13">
        <f t="shared" si="1"/>
        <v>0</v>
      </c>
      <c r="AC45" s="13">
        <f t="shared" si="2"/>
        <v>0</v>
      </c>
      <c r="AD45" s="63" t="s">
        <v>75</v>
      </c>
      <c r="AE45" s="64">
        <v>1539.48</v>
      </c>
      <c r="AF45" s="64">
        <v>606.71</v>
      </c>
      <c r="AG45" s="64">
        <v>115.46</v>
      </c>
      <c r="AH45" s="64">
        <v>45.5</v>
      </c>
      <c r="AI45" s="13">
        <f t="shared" ref="AI45:AI49" si="9">(E45+F45+H45+I45)-AL45</f>
        <v>2764.6400000000003</v>
      </c>
      <c r="AJ45" s="13">
        <f t="shared" ref="AJ45:AJ49" si="10">(J45+K45+L45+M45)-AM45</f>
        <v>221.1712</v>
      </c>
    </row>
    <row r="46" spans="1:39" ht="15" customHeight="1">
      <c r="A46" s="2" t="s">
        <v>76</v>
      </c>
      <c r="B46" s="2" t="s">
        <v>57</v>
      </c>
      <c r="C46" s="2" t="s">
        <v>33</v>
      </c>
      <c r="D46" s="2" t="s">
        <v>29</v>
      </c>
      <c r="E46" s="5">
        <v>2024.69</v>
      </c>
      <c r="F46" s="126">
        <v>0</v>
      </c>
      <c r="G46" s="126"/>
      <c r="H46" s="10">
        <v>0</v>
      </c>
      <c r="I46" s="3">
        <v>0</v>
      </c>
      <c r="J46" s="3">
        <v>161.9752</v>
      </c>
      <c r="K46" s="3">
        <v>0</v>
      </c>
      <c r="L46" s="3">
        <v>0</v>
      </c>
      <c r="M46" s="3">
        <v>0</v>
      </c>
      <c r="N46" s="3">
        <v>2024.69</v>
      </c>
      <c r="O46" s="3">
        <v>0</v>
      </c>
      <c r="P46" s="3">
        <v>157.9</v>
      </c>
      <c r="Q46" s="3">
        <v>0</v>
      </c>
      <c r="R46" s="3">
        <v>0</v>
      </c>
      <c r="S46" s="3">
        <v>404.93799999999999</v>
      </c>
      <c r="T46" s="3">
        <v>60.740699999999997</v>
      </c>
      <c r="U46" s="3">
        <v>117.43201999999999</v>
      </c>
      <c r="V46" s="3">
        <v>741.01071999999999</v>
      </c>
      <c r="W46" s="3">
        <v>2024.69</v>
      </c>
      <c r="X46" s="3">
        <v>0</v>
      </c>
      <c r="Y46" s="3">
        <v>0</v>
      </c>
      <c r="Z46" s="3">
        <v>0</v>
      </c>
      <c r="AA46" s="3">
        <v>0</v>
      </c>
      <c r="AB46" s="13">
        <f t="shared" si="1"/>
        <v>0</v>
      </c>
      <c r="AC46" s="13">
        <f t="shared" si="2"/>
        <v>0</v>
      </c>
      <c r="AD46" s="61" t="s">
        <v>76</v>
      </c>
      <c r="AE46" s="62">
        <v>2024.69</v>
      </c>
      <c r="AF46" s="62">
        <v>0</v>
      </c>
      <c r="AG46" s="62">
        <v>157.9</v>
      </c>
      <c r="AH46" s="62">
        <v>0</v>
      </c>
      <c r="AI46" s="13">
        <f t="shared" si="9"/>
        <v>0</v>
      </c>
      <c r="AJ46" s="13">
        <f t="shared" si="10"/>
        <v>5.2000000000020918E-3</v>
      </c>
      <c r="AK46" t="s">
        <v>76</v>
      </c>
      <c r="AL46" s="70">
        <v>2024.69</v>
      </c>
      <c r="AM46">
        <v>161.97</v>
      </c>
    </row>
    <row r="47" spans="1:39" ht="15" customHeight="1">
      <c r="A47" s="2" t="s">
        <v>77</v>
      </c>
      <c r="B47" s="2" t="s">
        <v>32</v>
      </c>
      <c r="C47" s="2" t="s">
        <v>33</v>
      </c>
      <c r="D47" s="2" t="s">
        <v>29</v>
      </c>
      <c r="E47" s="5">
        <v>1987.4</v>
      </c>
      <c r="F47" s="126">
        <v>0</v>
      </c>
      <c r="G47" s="126"/>
      <c r="H47" s="10">
        <v>0</v>
      </c>
      <c r="I47" s="3">
        <v>0</v>
      </c>
      <c r="J47" s="3">
        <v>158.99199999999999</v>
      </c>
      <c r="K47" s="3">
        <v>0</v>
      </c>
      <c r="L47" s="3">
        <v>0</v>
      </c>
      <c r="M47" s="3">
        <v>0</v>
      </c>
      <c r="N47" s="3">
        <v>1987.4</v>
      </c>
      <c r="O47" s="3">
        <v>0</v>
      </c>
      <c r="P47" s="3">
        <v>154.54</v>
      </c>
      <c r="Q47" s="3">
        <v>0</v>
      </c>
      <c r="R47" s="3">
        <v>0</v>
      </c>
      <c r="S47" s="3">
        <v>397.48</v>
      </c>
      <c r="T47" s="3">
        <v>59.622</v>
      </c>
      <c r="U47" s="3">
        <v>115.2692</v>
      </c>
      <c r="V47" s="3">
        <v>726.91120000000001</v>
      </c>
      <c r="W47" s="3">
        <v>1987.4</v>
      </c>
      <c r="X47" s="3">
        <v>0</v>
      </c>
      <c r="Y47" s="3">
        <v>0</v>
      </c>
      <c r="Z47" s="3">
        <v>0</v>
      </c>
      <c r="AA47" s="3">
        <v>0</v>
      </c>
      <c r="AB47" s="13">
        <f t="shared" si="1"/>
        <v>0</v>
      </c>
      <c r="AC47" s="13">
        <f t="shared" si="2"/>
        <v>0</v>
      </c>
      <c r="AD47" s="63" t="s">
        <v>77</v>
      </c>
      <c r="AE47" s="64">
        <v>1987.4</v>
      </c>
      <c r="AF47" s="64">
        <v>0</v>
      </c>
      <c r="AG47" s="64">
        <v>154.54</v>
      </c>
      <c r="AH47" s="64">
        <v>0</v>
      </c>
      <c r="AI47" s="13">
        <f t="shared" si="9"/>
        <v>0</v>
      </c>
      <c r="AJ47" s="13">
        <f t="shared" si="10"/>
        <v>1.999999999981128E-3</v>
      </c>
      <c r="AK47" t="s">
        <v>77</v>
      </c>
      <c r="AL47" s="70">
        <v>1987.4</v>
      </c>
      <c r="AM47">
        <v>158.99</v>
      </c>
    </row>
    <row r="48" spans="1:39" ht="15" customHeight="1">
      <c r="A48" s="2" t="s">
        <v>78</v>
      </c>
      <c r="B48" s="2" t="s">
        <v>48</v>
      </c>
      <c r="C48" s="2" t="s">
        <v>33</v>
      </c>
      <c r="D48" s="2" t="s">
        <v>29</v>
      </c>
      <c r="E48" s="5">
        <v>1067.17</v>
      </c>
      <c r="F48" s="126">
        <v>0</v>
      </c>
      <c r="G48" s="126"/>
      <c r="H48" s="10">
        <v>0</v>
      </c>
      <c r="I48" s="3">
        <v>0</v>
      </c>
      <c r="J48" s="3">
        <v>85.373599999999996</v>
      </c>
      <c r="K48" s="3">
        <v>0</v>
      </c>
      <c r="L48" s="3">
        <v>0</v>
      </c>
      <c r="M48" s="3">
        <v>0</v>
      </c>
      <c r="N48" s="3">
        <v>1067.17</v>
      </c>
      <c r="O48" s="3">
        <v>0</v>
      </c>
      <c r="P48" s="3">
        <v>80.03</v>
      </c>
      <c r="Q48" s="3">
        <v>0</v>
      </c>
      <c r="R48" s="3">
        <v>0</v>
      </c>
      <c r="S48" s="3">
        <v>213.434</v>
      </c>
      <c r="T48" s="3">
        <v>32.015099999999997</v>
      </c>
      <c r="U48" s="3">
        <v>61.895859999999999</v>
      </c>
      <c r="V48" s="3">
        <v>319.83496000000002</v>
      </c>
      <c r="W48" s="3">
        <v>1067.17</v>
      </c>
      <c r="X48" s="3">
        <v>0</v>
      </c>
      <c r="Y48" s="3">
        <v>0</v>
      </c>
      <c r="Z48" s="3">
        <v>0</v>
      </c>
      <c r="AA48" s="3">
        <v>0</v>
      </c>
      <c r="AB48" s="13">
        <f t="shared" si="1"/>
        <v>0</v>
      </c>
      <c r="AC48" s="13">
        <f t="shared" si="2"/>
        <v>0</v>
      </c>
      <c r="AD48" s="61" t="s">
        <v>78</v>
      </c>
      <c r="AE48" s="62">
        <v>1067.17</v>
      </c>
      <c r="AF48" s="62">
        <v>0</v>
      </c>
      <c r="AG48" s="62">
        <v>80.03</v>
      </c>
      <c r="AH48" s="62">
        <v>0</v>
      </c>
      <c r="AI48" s="13">
        <f t="shared" si="9"/>
        <v>0</v>
      </c>
      <c r="AJ48" s="13">
        <f t="shared" si="10"/>
        <v>3.5999999999916099E-3</v>
      </c>
      <c r="AK48" t="s">
        <v>78</v>
      </c>
      <c r="AL48" s="70">
        <v>1067.17</v>
      </c>
      <c r="AM48">
        <v>85.37</v>
      </c>
    </row>
    <row r="49" spans="1:39" ht="15" customHeight="1">
      <c r="A49" s="2" t="s">
        <v>79</v>
      </c>
      <c r="B49" s="2" t="s">
        <v>48</v>
      </c>
      <c r="C49" s="2" t="s">
        <v>33</v>
      </c>
      <c r="D49" s="2" t="s">
        <v>29</v>
      </c>
      <c r="E49" s="5">
        <v>5600.47</v>
      </c>
      <c r="F49" s="126">
        <v>0</v>
      </c>
      <c r="G49" s="126"/>
      <c r="H49" s="10">
        <v>0</v>
      </c>
      <c r="I49" s="3">
        <v>0</v>
      </c>
      <c r="J49" s="3">
        <v>448.0376</v>
      </c>
      <c r="K49" s="3">
        <v>0</v>
      </c>
      <c r="L49" s="3">
        <v>0</v>
      </c>
      <c r="M49" s="3">
        <v>0</v>
      </c>
      <c r="N49" s="3">
        <v>5600.47</v>
      </c>
      <c r="O49" s="3">
        <v>0</v>
      </c>
      <c r="P49" s="3">
        <v>585.55999999999995</v>
      </c>
      <c r="Q49" s="3">
        <v>0</v>
      </c>
      <c r="R49" s="3">
        <v>0</v>
      </c>
      <c r="S49" s="3">
        <v>1120.0940000000001</v>
      </c>
      <c r="T49" s="3">
        <v>168.01410000000001</v>
      </c>
      <c r="U49" s="3">
        <v>324.82726000000002</v>
      </c>
      <c r="V49" s="3">
        <v>2198.4953599999999</v>
      </c>
      <c r="W49" s="3">
        <v>5600.47</v>
      </c>
      <c r="X49" s="3">
        <v>0</v>
      </c>
      <c r="Y49" s="3">
        <v>134.6</v>
      </c>
      <c r="Z49" s="3">
        <v>0</v>
      </c>
      <c r="AA49" s="3">
        <v>0</v>
      </c>
      <c r="AB49" s="13">
        <f t="shared" si="1"/>
        <v>0</v>
      </c>
      <c r="AC49" s="13">
        <f t="shared" si="2"/>
        <v>0</v>
      </c>
      <c r="AD49" s="59" t="s">
        <v>79</v>
      </c>
      <c r="AE49" s="60">
        <v>5600.47</v>
      </c>
      <c r="AF49" s="60">
        <v>0</v>
      </c>
      <c r="AG49" s="60">
        <v>585.55999999999995</v>
      </c>
      <c r="AH49" s="60">
        <v>0</v>
      </c>
      <c r="AI49" s="13">
        <f t="shared" si="9"/>
        <v>0</v>
      </c>
      <c r="AJ49" s="13">
        <f t="shared" si="10"/>
        <v>7.6000000000249202E-3</v>
      </c>
      <c r="AK49" t="s">
        <v>79</v>
      </c>
      <c r="AL49" s="70">
        <v>5600.47</v>
      </c>
      <c r="AM49">
        <v>448.03</v>
      </c>
    </row>
    <row r="50" spans="1:39" ht="15" customHeight="1">
      <c r="A50" s="2" t="s">
        <v>80</v>
      </c>
      <c r="B50" s="2" t="s">
        <v>71</v>
      </c>
      <c r="C50" s="2" t="s">
        <v>33</v>
      </c>
      <c r="D50" s="2" t="s">
        <v>29</v>
      </c>
      <c r="E50" s="5">
        <v>1972.81</v>
      </c>
      <c r="F50" s="126">
        <v>0</v>
      </c>
      <c r="G50" s="126"/>
      <c r="H50" s="10">
        <v>0</v>
      </c>
      <c r="I50" s="3">
        <v>0</v>
      </c>
      <c r="J50" s="3">
        <v>157.82480000000001</v>
      </c>
      <c r="K50" s="3">
        <v>0</v>
      </c>
      <c r="L50" s="3">
        <v>0</v>
      </c>
      <c r="M50" s="3">
        <v>0</v>
      </c>
      <c r="N50" s="3">
        <v>1972.81</v>
      </c>
      <c r="O50" s="3">
        <v>0</v>
      </c>
      <c r="P50" s="3">
        <v>153.22999999999999</v>
      </c>
      <c r="Q50" s="3">
        <v>0</v>
      </c>
      <c r="R50" s="3">
        <v>0</v>
      </c>
      <c r="S50" s="3">
        <v>394.56200000000001</v>
      </c>
      <c r="T50" s="3">
        <v>59.1843</v>
      </c>
      <c r="U50" s="3">
        <v>114.42298</v>
      </c>
      <c r="V50" s="3">
        <v>721.39927999999998</v>
      </c>
      <c r="W50" s="3">
        <v>1972.81</v>
      </c>
      <c r="X50" s="3">
        <v>0</v>
      </c>
      <c r="Y50" s="3">
        <v>0</v>
      </c>
      <c r="Z50" s="3">
        <v>0</v>
      </c>
      <c r="AA50" s="3">
        <v>0</v>
      </c>
      <c r="AB50" s="13">
        <f t="shared" si="1"/>
        <v>0</v>
      </c>
      <c r="AC50" s="13">
        <f t="shared" si="2"/>
        <v>0</v>
      </c>
      <c r="AD50" s="61" t="s">
        <v>80</v>
      </c>
      <c r="AE50" s="62">
        <v>1972.81</v>
      </c>
      <c r="AF50" s="62">
        <v>0</v>
      </c>
      <c r="AG50" s="62">
        <v>153.22999999999999</v>
      </c>
      <c r="AH50" s="62">
        <v>0</v>
      </c>
      <c r="AI50" s="13">
        <f t="shared" ref="AI50:AI56" si="11">(E50+F50+H50+I50)-AL50</f>
        <v>0</v>
      </c>
      <c r="AJ50" s="13">
        <f t="shared" ref="AJ50:AJ56" si="12">(J50+K50+L50+M50)-AM50</f>
        <v>4.8000000000172349E-3</v>
      </c>
      <c r="AK50" t="s">
        <v>80</v>
      </c>
      <c r="AL50" s="70">
        <v>1972.81</v>
      </c>
      <c r="AM50">
        <v>157.82</v>
      </c>
    </row>
    <row r="51" spans="1:39" ht="15" customHeight="1">
      <c r="A51" s="2" t="s">
        <v>81</v>
      </c>
      <c r="B51" s="2" t="s">
        <v>42</v>
      </c>
      <c r="C51" s="2" t="s">
        <v>33</v>
      </c>
      <c r="D51" s="2" t="s">
        <v>29</v>
      </c>
      <c r="E51" s="5">
        <v>2024.56</v>
      </c>
      <c r="F51" s="126">
        <v>0</v>
      </c>
      <c r="G51" s="126"/>
      <c r="H51" s="10">
        <v>0</v>
      </c>
      <c r="I51" s="3">
        <v>0</v>
      </c>
      <c r="J51" s="3">
        <v>161.9648</v>
      </c>
      <c r="K51" s="3">
        <v>0</v>
      </c>
      <c r="L51" s="3">
        <v>0</v>
      </c>
      <c r="M51" s="3">
        <v>0</v>
      </c>
      <c r="N51" s="3">
        <v>2024.56</v>
      </c>
      <c r="O51" s="3">
        <v>0</v>
      </c>
      <c r="P51" s="3">
        <v>157.88999999999999</v>
      </c>
      <c r="Q51" s="3">
        <v>0</v>
      </c>
      <c r="R51" s="3">
        <v>0</v>
      </c>
      <c r="S51" s="3">
        <v>404.91199999999998</v>
      </c>
      <c r="T51" s="3">
        <v>60.736800000000002</v>
      </c>
      <c r="U51" s="3">
        <v>117.42448</v>
      </c>
      <c r="V51" s="3">
        <v>740.96328000000005</v>
      </c>
      <c r="W51" s="3">
        <v>2024.56</v>
      </c>
      <c r="X51" s="3">
        <v>0</v>
      </c>
      <c r="Y51" s="3">
        <v>0</v>
      </c>
      <c r="Z51" s="3">
        <v>0</v>
      </c>
      <c r="AA51" s="3">
        <v>0</v>
      </c>
      <c r="AB51" s="13">
        <f t="shared" si="1"/>
        <v>0</v>
      </c>
      <c r="AC51" s="13">
        <f t="shared" si="2"/>
        <v>0</v>
      </c>
      <c r="AD51" s="63" t="s">
        <v>232</v>
      </c>
      <c r="AE51" s="64">
        <v>2024.56</v>
      </c>
      <c r="AF51" s="64">
        <v>0</v>
      </c>
      <c r="AG51" s="64">
        <v>157.88999999999999</v>
      </c>
      <c r="AH51" s="64">
        <v>0</v>
      </c>
      <c r="AI51" s="13">
        <f t="shared" si="11"/>
        <v>0</v>
      </c>
      <c r="AJ51" s="13">
        <f t="shared" si="12"/>
        <v>4.7999999999888132E-3</v>
      </c>
      <c r="AK51" t="s">
        <v>81</v>
      </c>
      <c r="AL51" s="70">
        <v>2024.56</v>
      </c>
      <c r="AM51">
        <v>161.96</v>
      </c>
    </row>
    <row r="52" spans="1:39" ht="15" customHeight="1">
      <c r="A52" s="2" t="s">
        <v>82</v>
      </c>
      <c r="B52" s="2" t="s">
        <v>57</v>
      </c>
      <c r="C52" s="2" t="s">
        <v>33</v>
      </c>
      <c r="D52" s="2" t="s">
        <v>29</v>
      </c>
      <c r="E52" s="5">
        <v>6853.09</v>
      </c>
      <c r="F52" s="126">
        <v>0</v>
      </c>
      <c r="G52" s="126"/>
      <c r="H52" s="10">
        <v>0</v>
      </c>
      <c r="I52" s="3">
        <v>0</v>
      </c>
      <c r="J52" s="3">
        <v>548.24720000000002</v>
      </c>
      <c r="K52" s="3">
        <v>0</v>
      </c>
      <c r="L52" s="3">
        <v>0</v>
      </c>
      <c r="M52" s="3">
        <v>0</v>
      </c>
      <c r="N52" s="3">
        <v>6853.09</v>
      </c>
      <c r="O52" s="3">
        <v>0</v>
      </c>
      <c r="P52" s="3">
        <v>760.93</v>
      </c>
      <c r="Q52" s="3">
        <v>0</v>
      </c>
      <c r="R52" s="3">
        <v>0</v>
      </c>
      <c r="S52" s="3">
        <v>1370.6179999999999</v>
      </c>
      <c r="T52" s="3">
        <v>205.59270000000001</v>
      </c>
      <c r="U52" s="3">
        <v>397.47922</v>
      </c>
      <c r="V52" s="3">
        <v>2734.6199200000001</v>
      </c>
      <c r="W52" s="3">
        <v>6853.09</v>
      </c>
      <c r="X52" s="3">
        <v>0</v>
      </c>
      <c r="Y52" s="3">
        <v>700.44</v>
      </c>
      <c r="Z52" s="3">
        <v>0</v>
      </c>
      <c r="AA52" s="3">
        <v>0</v>
      </c>
      <c r="AB52" s="13">
        <f t="shared" si="1"/>
        <v>0</v>
      </c>
      <c r="AC52" s="13">
        <f t="shared" si="2"/>
        <v>0</v>
      </c>
      <c r="AD52" s="65" t="s">
        <v>82</v>
      </c>
      <c r="AE52" s="66">
        <v>6853.09</v>
      </c>
      <c r="AF52" s="66">
        <v>0</v>
      </c>
      <c r="AG52" s="66">
        <v>760.93</v>
      </c>
      <c r="AH52" s="66">
        <v>0</v>
      </c>
      <c r="AI52" s="13">
        <f t="shared" si="11"/>
        <v>0</v>
      </c>
      <c r="AJ52" s="13">
        <f t="shared" si="12"/>
        <v>7.2000000000116415E-3</v>
      </c>
      <c r="AK52" t="s">
        <v>82</v>
      </c>
      <c r="AL52" s="70">
        <v>6853.09</v>
      </c>
      <c r="AM52">
        <v>548.24</v>
      </c>
    </row>
    <row r="53" spans="1:39" ht="15" customHeight="1">
      <c r="A53" s="2" t="s">
        <v>83</v>
      </c>
      <c r="B53" s="2" t="s">
        <v>40</v>
      </c>
      <c r="C53" s="2" t="s">
        <v>33</v>
      </c>
      <c r="D53" s="2" t="s">
        <v>29</v>
      </c>
      <c r="E53" s="5">
        <v>1969.63</v>
      </c>
      <c r="F53" s="126">
        <v>0</v>
      </c>
      <c r="G53" s="126"/>
      <c r="H53" s="10">
        <v>0</v>
      </c>
      <c r="I53" s="3">
        <v>0</v>
      </c>
      <c r="J53" s="3">
        <v>157.57040000000001</v>
      </c>
      <c r="K53" s="3">
        <v>0</v>
      </c>
      <c r="L53" s="3">
        <v>0</v>
      </c>
      <c r="M53" s="3">
        <v>0</v>
      </c>
      <c r="N53" s="3">
        <v>1969.63</v>
      </c>
      <c r="O53" s="3">
        <v>0</v>
      </c>
      <c r="P53" s="3">
        <v>152.94</v>
      </c>
      <c r="Q53" s="3">
        <v>0</v>
      </c>
      <c r="R53" s="3">
        <v>0</v>
      </c>
      <c r="S53" s="3">
        <v>393.92599999999999</v>
      </c>
      <c r="T53" s="3">
        <v>59.088900000000002</v>
      </c>
      <c r="U53" s="3">
        <v>114.23854</v>
      </c>
      <c r="V53" s="3">
        <v>720.19344000000001</v>
      </c>
      <c r="W53" s="3">
        <v>1969.63</v>
      </c>
      <c r="X53" s="3">
        <v>0</v>
      </c>
      <c r="Y53" s="3">
        <v>0</v>
      </c>
      <c r="Z53" s="3">
        <v>0</v>
      </c>
      <c r="AA53" s="3">
        <v>0</v>
      </c>
      <c r="AB53" s="13">
        <f t="shared" si="1"/>
        <v>0</v>
      </c>
      <c r="AC53" s="13">
        <f t="shared" si="2"/>
        <v>0</v>
      </c>
      <c r="AD53" s="63" t="s">
        <v>83</v>
      </c>
      <c r="AE53" s="64">
        <v>1969.63</v>
      </c>
      <c r="AF53" s="64">
        <v>0</v>
      </c>
      <c r="AG53" s="64">
        <v>152.94</v>
      </c>
      <c r="AH53" s="64">
        <v>0</v>
      </c>
      <c r="AI53" s="13">
        <f t="shared" si="11"/>
        <v>0</v>
      </c>
      <c r="AJ53" s="13">
        <f t="shared" si="12"/>
        <v>4.0000000001327862E-4</v>
      </c>
      <c r="AK53" t="s">
        <v>83</v>
      </c>
      <c r="AL53" s="70">
        <v>1969.63</v>
      </c>
      <c r="AM53">
        <v>157.57</v>
      </c>
    </row>
    <row r="54" spans="1:39" ht="15" customHeight="1">
      <c r="A54" s="2" t="s">
        <v>84</v>
      </c>
      <c r="B54" s="2" t="s">
        <v>55</v>
      </c>
      <c r="C54" s="2" t="s">
        <v>33</v>
      </c>
      <c r="D54" s="2" t="s">
        <v>29</v>
      </c>
      <c r="E54" s="5">
        <v>1499.86</v>
      </c>
      <c r="F54" s="126">
        <v>0</v>
      </c>
      <c r="G54" s="126"/>
      <c r="H54" s="10">
        <v>0</v>
      </c>
      <c r="I54" s="3">
        <v>0</v>
      </c>
      <c r="J54" s="3">
        <v>119.9888</v>
      </c>
      <c r="K54" s="3">
        <v>0</v>
      </c>
      <c r="L54" s="3">
        <v>0</v>
      </c>
      <c r="M54" s="3">
        <v>0</v>
      </c>
      <c r="N54" s="3">
        <v>1499.86</v>
      </c>
      <c r="O54" s="3">
        <v>0</v>
      </c>
      <c r="P54" s="3">
        <v>112.48</v>
      </c>
      <c r="Q54" s="3">
        <v>0</v>
      </c>
      <c r="R54" s="3">
        <v>0</v>
      </c>
      <c r="S54" s="3">
        <v>299.97199999999998</v>
      </c>
      <c r="T54" s="3">
        <v>44.995800000000003</v>
      </c>
      <c r="U54" s="3">
        <v>86.991879999999995</v>
      </c>
      <c r="V54" s="3">
        <v>544.43967999999995</v>
      </c>
      <c r="W54" s="3">
        <v>1499.86</v>
      </c>
      <c r="X54" s="3">
        <v>0</v>
      </c>
      <c r="Y54" s="3">
        <v>0</v>
      </c>
      <c r="Z54" s="3">
        <v>0</v>
      </c>
      <c r="AA54" s="3">
        <v>0</v>
      </c>
      <c r="AB54" s="13">
        <f t="shared" si="1"/>
        <v>0</v>
      </c>
      <c r="AC54" s="13">
        <f t="shared" si="2"/>
        <v>0</v>
      </c>
      <c r="AD54" s="61" t="s">
        <v>84</v>
      </c>
      <c r="AE54" s="62">
        <v>1499.86</v>
      </c>
      <c r="AF54" s="62">
        <v>0</v>
      </c>
      <c r="AG54" s="62">
        <v>112.48</v>
      </c>
      <c r="AH54" s="62">
        <v>0</v>
      </c>
      <c r="AI54" s="13">
        <f t="shared" si="11"/>
        <v>0</v>
      </c>
      <c r="AJ54" s="13">
        <f t="shared" si="12"/>
        <v>8.7999999999937017E-3</v>
      </c>
      <c r="AK54" t="s">
        <v>84</v>
      </c>
      <c r="AL54" s="70">
        <v>1499.86</v>
      </c>
      <c r="AM54">
        <v>119.98</v>
      </c>
    </row>
    <row r="55" spans="1:39" s="25" customFormat="1" ht="15" customHeight="1">
      <c r="A55" s="21" t="s">
        <v>85</v>
      </c>
      <c r="B55" s="21" t="s">
        <v>35</v>
      </c>
      <c r="C55" s="21" t="s">
        <v>33</v>
      </c>
      <c r="D55" s="21" t="s">
        <v>86</v>
      </c>
      <c r="E55" s="22">
        <v>1190</v>
      </c>
      <c r="F55" s="128">
        <v>0</v>
      </c>
      <c r="G55" s="128"/>
      <c r="H55" s="24">
        <v>0</v>
      </c>
      <c r="I55" s="23">
        <v>0</v>
      </c>
      <c r="J55" s="23">
        <f>E55*0.02</f>
        <v>23.8</v>
      </c>
      <c r="K55" s="23">
        <v>0</v>
      </c>
      <c r="L55" s="23">
        <v>0</v>
      </c>
      <c r="M55" s="23">
        <v>0</v>
      </c>
      <c r="N55" s="23">
        <v>1190</v>
      </c>
      <c r="O55" s="23">
        <v>0</v>
      </c>
      <c r="P55" s="23">
        <v>89.25</v>
      </c>
      <c r="Q55" s="23">
        <v>0</v>
      </c>
      <c r="R55" s="23">
        <v>0</v>
      </c>
      <c r="S55" s="23">
        <v>238</v>
      </c>
      <c r="T55" s="23">
        <v>35.700000000000003</v>
      </c>
      <c r="U55" s="23">
        <v>69.02</v>
      </c>
      <c r="V55" s="23">
        <v>431.97</v>
      </c>
      <c r="W55" s="23">
        <v>1190</v>
      </c>
      <c r="X55" s="23">
        <v>0</v>
      </c>
      <c r="Y55" s="23">
        <v>0</v>
      </c>
      <c r="Z55" s="23">
        <v>0</v>
      </c>
      <c r="AA55" s="23">
        <v>0</v>
      </c>
      <c r="AB55" s="13">
        <f t="shared" si="1"/>
        <v>0</v>
      </c>
      <c r="AC55" s="13">
        <f t="shared" si="2"/>
        <v>0</v>
      </c>
      <c r="AD55" s="59" t="s">
        <v>85</v>
      </c>
      <c r="AE55" s="60">
        <v>1190</v>
      </c>
      <c r="AF55" s="60">
        <v>0</v>
      </c>
      <c r="AG55" s="60">
        <v>89.25</v>
      </c>
      <c r="AH55" s="60">
        <v>0</v>
      </c>
      <c r="AI55" s="13">
        <f t="shared" si="11"/>
        <v>0</v>
      </c>
      <c r="AJ55" s="13">
        <f t="shared" si="12"/>
        <v>0</v>
      </c>
      <c r="AK55" t="s">
        <v>85</v>
      </c>
      <c r="AL55" s="70">
        <v>1190</v>
      </c>
      <c r="AM55">
        <v>23.8</v>
      </c>
    </row>
    <row r="56" spans="1:39" ht="15" customHeight="1">
      <c r="A56" s="2" t="s">
        <v>87</v>
      </c>
      <c r="B56" s="2" t="s">
        <v>57</v>
      </c>
      <c r="C56" s="2" t="s">
        <v>33</v>
      </c>
      <c r="D56" s="2" t="s">
        <v>29</v>
      </c>
      <c r="E56" s="5">
        <v>3444.95</v>
      </c>
      <c r="F56" s="126">
        <v>0</v>
      </c>
      <c r="G56" s="126"/>
      <c r="H56" s="10">
        <v>0</v>
      </c>
      <c r="I56" s="3">
        <v>0</v>
      </c>
      <c r="J56" s="3">
        <v>275.596</v>
      </c>
      <c r="K56" s="3">
        <v>0</v>
      </c>
      <c r="L56" s="3">
        <v>0</v>
      </c>
      <c r="M56" s="3">
        <v>0</v>
      </c>
      <c r="N56" s="3">
        <v>3444.95</v>
      </c>
      <c r="O56" s="3">
        <v>0</v>
      </c>
      <c r="P56" s="3">
        <v>301.98</v>
      </c>
      <c r="Q56" s="3">
        <v>0</v>
      </c>
      <c r="R56" s="3">
        <v>0</v>
      </c>
      <c r="S56" s="3">
        <v>688.99</v>
      </c>
      <c r="T56" s="3">
        <v>103.3485</v>
      </c>
      <c r="U56" s="3">
        <v>199.80709999999999</v>
      </c>
      <c r="V56" s="3">
        <v>1294.1256000000001</v>
      </c>
      <c r="W56" s="3">
        <v>3444.95</v>
      </c>
      <c r="X56" s="3">
        <v>0</v>
      </c>
      <c r="Y56" s="3">
        <v>0</v>
      </c>
      <c r="Z56" s="3">
        <v>0</v>
      </c>
      <c r="AA56" s="3">
        <v>0</v>
      </c>
      <c r="AB56" s="13">
        <f t="shared" si="1"/>
        <v>0</v>
      </c>
      <c r="AC56" s="13">
        <f t="shared" si="2"/>
        <v>0</v>
      </c>
      <c r="AD56" s="65" t="s">
        <v>87</v>
      </c>
      <c r="AE56" s="66">
        <v>3444.95</v>
      </c>
      <c r="AF56" s="66">
        <v>0</v>
      </c>
      <c r="AG56" s="66">
        <v>301.98</v>
      </c>
      <c r="AH56" s="66">
        <v>0</v>
      </c>
      <c r="AI56" s="13">
        <f t="shared" si="11"/>
        <v>0</v>
      </c>
      <c r="AJ56" s="13">
        <f t="shared" si="12"/>
        <v>6.0000000000286491E-3</v>
      </c>
      <c r="AK56" t="s">
        <v>87</v>
      </c>
      <c r="AL56" s="70">
        <v>3444.95</v>
      </c>
      <c r="AM56">
        <v>275.58999999999997</v>
      </c>
    </row>
    <row r="57" spans="1:39" ht="15" customHeight="1">
      <c r="A57" s="71" t="s">
        <v>88</v>
      </c>
      <c r="B57" s="71" t="s">
        <v>27</v>
      </c>
      <c r="C57" s="71" t="s">
        <v>28</v>
      </c>
      <c r="D57" s="71" t="s">
        <v>29</v>
      </c>
      <c r="E57" s="72">
        <v>1313.69</v>
      </c>
      <c r="F57" s="127">
        <v>617.04999999999995</v>
      </c>
      <c r="G57" s="127"/>
      <c r="H57" s="74">
        <v>0</v>
      </c>
      <c r="I57" s="73">
        <v>598.37</v>
      </c>
      <c r="J57" s="73">
        <v>105.09520000000001</v>
      </c>
      <c r="K57" s="73">
        <v>49.363999999999997</v>
      </c>
      <c r="L57" s="73">
        <v>0</v>
      </c>
      <c r="M57" s="73">
        <v>47.869599999999998</v>
      </c>
      <c r="N57" s="73">
        <v>1313.69</v>
      </c>
      <c r="O57" s="73">
        <v>598.37</v>
      </c>
      <c r="P57" s="73">
        <v>98.52</v>
      </c>
      <c r="Q57" s="73">
        <v>44.87</v>
      </c>
      <c r="R57" s="73">
        <v>0</v>
      </c>
      <c r="S57" s="3">
        <v>382.41199999999998</v>
      </c>
      <c r="T57" s="3">
        <v>57.361800000000002</v>
      </c>
      <c r="U57" s="3">
        <v>110.89948</v>
      </c>
      <c r="V57" s="3">
        <v>694.06327999999996</v>
      </c>
      <c r="W57" s="3">
        <v>1313.69</v>
      </c>
      <c r="X57" s="3">
        <v>0</v>
      </c>
      <c r="Y57" s="3">
        <v>0</v>
      </c>
      <c r="Z57" s="3">
        <v>0</v>
      </c>
      <c r="AA57" s="3">
        <v>0</v>
      </c>
      <c r="AB57" s="13">
        <f t="shared" si="1"/>
        <v>0</v>
      </c>
      <c r="AC57" s="13">
        <f t="shared" si="2"/>
        <v>0</v>
      </c>
      <c r="AD57" s="63" t="s">
        <v>88</v>
      </c>
      <c r="AE57" s="64">
        <v>1313.69</v>
      </c>
      <c r="AF57" s="64">
        <v>598.37</v>
      </c>
      <c r="AG57" s="64">
        <v>98.52</v>
      </c>
      <c r="AH57" s="64">
        <v>44.87</v>
      </c>
      <c r="AI57" s="13">
        <f t="shared" ref="AI57:AI58" si="13">(E57+F57+H57+I57)-AL57</f>
        <v>2529.11</v>
      </c>
      <c r="AJ57" s="13">
        <f t="shared" ref="AJ57:AJ58" si="14">(J57+K57+L57+M57)-AM57</f>
        <v>202.3288</v>
      </c>
      <c r="AL57" s="70"/>
    </row>
    <row r="58" spans="1:39" ht="15" customHeight="1">
      <c r="A58" s="2" t="s">
        <v>89</v>
      </c>
      <c r="B58" s="2" t="s">
        <v>65</v>
      </c>
      <c r="C58" s="2" t="s">
        <v>90</v>
      </c>
      <c r="D58" s="2" t="s">
        <v>29</v>
      </c>
      <c r="E58" s="5">
        <v>2108.48</v>
      </c>
      <c r="F58" s="126">
        <v>0</v>
      </c>
      <c r="G58" s="126"/>
      <c r="H58" s="10">
        <v>0</v>
      </c>
      <c r="I58" s="3">
        <v>0</v>
      </c>
      <c r="J58" s="3">
        <v>168.67840000000001</v>
      </c>
      <c r="K58" s="3">
        <v>0</v>
      </c>
      <c r="L58" s="3">
        <v>0</v>
      </c>
      <c r="M58" s="3">
        <v>0</v>
      </c>
      <c r="N58" s="3">
        <v>2108.48</v>
      </c>
      <c r="O58" s="3">
        <v>0</v>
      </c>
      <c r="P58" s="3">
        <v>165.44</v>
      </c>
      <c r="Q58" s="3">
        <v>0</v>
      </c>
      <c r="R58" s="3">
        <v>0</v>
      </c>
      <c r="S58" s="3">
        <v>421.69600000000003</v>
      </c>
      <c r="T58" s="3">
        <v>63.254399999999997</v>
      </c>
      <c r="U58" s="3">
        <v>122.29183999999999</v>
      </c>
      <c r="V58" s="3">
        <v>772.68223999999998</v>
      </c>
      <c r="W58" s="3">
        <v>2108.48</v>
      </c>
      <c r="X58" s="3">
        <v>0</v>
      </c>
      <c r="Y58" s="3">
        <v>0</v>
      </c>
      <c r="Z58" s="3">
        <v>0</v>
      </c>
      <c r="AA58" s="3">
        <v>0</v>
      </c>
      <c r="AB58" s="13">
        <f t="shared" si="1"/>
        <v>0</v>
      </c>
      <c r="AC58" s="13">
        <f t="shared" si="2"/>
        <v>0</v>
      </c>
      <c r="AD58" s="61" t="s">
        <v>89</v>
      </c>
      <c r="AE58" s="62">
        <v>2108.48</v>
      </c>
      <c r="AF58" s="62">
        <v>0</v>
      </c>
      <c r="AG58" s="62">
        <v>165.44</v>
      </c>
      <c r="AH58" s="62">
        <v>0</v>
      </c>
      <c r="AI58" s="13">
        <f t="shared" si="13"/>
        <v>0</v>
      </c>
      <c r="AJ58" s="13">
        <f t="shared" si="14"/>
        <v>8.4000000000230557E-3</v>
      </c>
      <c r="AK58" t="s">
        <v>89</v>
      </c>
      <c r="AL58" s="70">
        <v>2108.48</v>
      </c>
      <c r="AM58">
        <v>168.67</v>
      </c>
    </row>
    <row r="59" spans="1:39" ht="15" customHeight="1">
      <c r="A59" s="71" t="s">
        <v>91</v>
      </c>
      <c r="B59" s="71" t="s">
        <v>27</v>
      </c>
      <c r="C59" s="71" t="s">
        <v>28</v>
      </c>
      <c r="D59" s="71" t="s">
        <v>29</v>
      </c>
      <c r="E59" s="72">
        <v>2633.82</v>
      </c>
      <c r="F59" s="127">
        <v>866.93</v>
      </c>
      <c r="G59" s="127"/>
      <c r="H59" s="74">
        <v>0</v>
      </c>
      <c r="I59" s="73">
        <v>933.7</v>
      </c>
      <c r="J59" s="73">
        <v>210.7056</v>
      </c>
      <c r="K59" s="73">
        <v>69.354399999999998</v>
      </c>
      <c r="L59" s="73">
        <v>0</v>
      </c>
      <c r="M59" s="73">
        <v>74.695999999999998</v>
      </c>
      <c r="N59" s="73">
        <v>2633.82</v>
      </c>
      <c r="O59" s="73">
        <v>933.7</v>
      </c>
      <c r="P59" s="73">
        <v>212.72</v>
      </c>
      <c r="Q59" s="73">
        <v>70.02</v>
      </c>
      <c r="R59" s="73">
        <v>0</v>
      </c>
      <c r="S59" s="3">
        <v>713.50400000000002</v>
      </c>
      <c r="T59" s="3">
        <v>107.0256</v>
      </c>
      <c r="U59" s="3">
        <v>206.91615999999999</v>
      </c>
      <c r="V59" s="3">
        <v>1310.1857600000001</v>
      </c>
      <c r="W59" s="3">
        <v>2633.82</v>
      </c>
      <c r="X59" s="3">
        <v>0</v>
      </c>
      <c r="Y59" s="3">
        <v>0</v>
      </c>
      <c r="Z59" s="3">
        <v>0</v>
      </c>
      <c r="AA59" s="3">
        <v>0</v>
      </c>
      <c r="AB59" s="13">
        <f t="shared" si="1"/>
        <v>0</v>
      </c>
      <c r="AC59" s="13">
        <f t="shared" si="2"/>
        <v>0</v>
      </c>
      <c r="AD59" s="63" t="s">
        <v>91</v>
      </c>
      <c r="AE59" s="64">
        <v>2633.82</v>
      </c>
      <c r="AF59" s="64">
        <v>933.7</v>
      </c>
      <c r="AG59" s="64">
        <v>212.72</v>
      </c>
      <c r="AH59" s="64">
        <v>70.02</v>
      </c>
      <c r="AI59" s="13">
        <f t="shared" ref="AI59:AI60" si="15">(E59+F59+H59+I59)-AL59</f>
        <v>4434.45</v>
      </c>
      <c r="AJ59" s="13">
        <f t="shared" ref="AJ59:AJ60" si="16">(J59+K59+L59+M59)-AM59</f>
        <v>354.75599999999997</v>
      </c>
      <c r="AL59" s="70"/>
    </row>
    <row r="60" spans="1:39" ht="15" customHeight="1">
      <c r="A60" s="2" t="s">
        <v>92</v>
      </c>
      <c r="B60" s="2" t="s">
        <v>35</v>
      </c>
      <c r="C60" s="2" t="s">
        <v>33</v>
      </c>
      <c r="D60" s="2" t="s">
        <v>29</v>
      </c>
      <c r="E60" s="5">
        <v>4172.3100000000004</v>
      </c>
      <c r="F60" s="126">
        <v>0</v>
      </c>
      <c r="G60" s="126"/>
      <c r="H60" s="10">
        <v>0</v>
      </c>
      <c r="I60" s="3">
        <v>0</v>
      </c>
      <c r="J60" s="3">
        <v>333.78480000000002</v>
      </c>
      <c r="K60" s="3">
        <v>0</v>
      </c>
      <c r="L60" s="3">
        <v>0</v>
      </c>
      <c r="M60" s="3">
        <v>0</v>
      </c>
      <c r="N60" s="3">
        <v>4172.3100000000004</v>
      </c>
      <c r="O60" s="3">
        <v>0</v>
      </c>
      <c r="P60" s="3">
        <v>389.26</v>
      </c>
      <c r="Q60" s="3">
        <v>0</v>
      </c>
      <c r="R60" s="3">
        <v>0</v>
      </c>
      <c r="S60" s="3">
        <v>834.46199999999999</v>
      </c>
      <c r="T60" s="3">
        <v>125.16930000000001</v>
      </c>
      <c r="U60" s="3">
        <v>241.99397999999999</v>
      </c>
      <c r="V60" s="3">
        <v>1590.88528</v>
      </c>
      <c r="W60" s="3">
        <v>4172.3100000000004</v>
      </c>
      <c r="X60" s="3">
        <v>0</v>
      </c>
      <c r="Y60" s="3">
        <v>0</v>
      </c>
      <c r="Z60" s="3">
        <v>0</v>
      </c>
      <c r="AA60" s="3">
        <v>0</v>
      </c>
      <c r="AB60" s="13">
        <f t="shared" si="1"/>
        <v>0</v>
      </c>
      <c r="AC60" s="13">
        <f t="shared" si="2"/>
        <v>0</v>
      </c>
      <c r="AD60" s="65" t="s">
        <v>92</v>
      </c>
      <c r="AE60" s="66">
        <v>4172.3100000000004</v>
      </c>
      <c r="AF60" s="66">
        <v>0</v>
      </c>
      <c r="AG60" s="66">
        <v>389.26</v>
      </c>
      <c r="AH60" s="66">
        <v>0</v>
      </c>
      <c r="AI60" s="13">
        <f t="shared" si="15"/>
        <v>0</v>
      </c>
      <c r="AJ60" s="13">
        <f t="shared" si="16"/>
        <v>4.8000000000456566E-3</v>
      </c>
      <c r="AK60" t="s">
        <v>92</v>
      </c>
      <c r="AL60" s="70">
        <v>4172.3100000000004</v>
      </c>
      <c r="AM60">
        <v>333.78</v>
      </c>
    </row>
    <row r="61" spans="1:39" s="25" customFormat="1" ht="15" customHeight="1">
      <c r="A61" s="21" t="s">
        <v>93</v>
      </c>
      <c r="B61" s="21" t="s">
        <v>35</v>
      </c>
      <c r="C61" s="21" t="s">
        <v>33</v>
      </c>
      <c r="D61" s="21" t="s">
        <v>86</v>
      </c>
      <c r="E61" s="22">
        <v>1190</v>
      </c>
      <c r="F61" s="128">
        <v>0</v>
      </c>
      <c r="G61" s="128"/>
      <c r="H61" s="24">
        <v>0</v>
      </c>
      <c r="I61" s="23">
        <v>0</v>
      </c>
      <c r="J61" s="23">
        <f>E61*0.02</f>
        <v>23.8</v>
      </c>
      <c r="K61" s="23">
        <v>0</v>
      </c>
      <c r="L61" s="23">
        <v>0</v>
      </c>
      <c r="M61" s="23">
        <v>0</v>
      </c>
      <c r="N61" s="23">
        <v>1190</v>
      </c>
      <c r="O61" s="23">
        <v>0</v>
      </c>
      <c r="P61" s="23">
        <v>89.25</v>
      </c>
      <c r="Q61" s="23">
        <v>0</v>
      </c>
      <c r="R61" s="23">
        <v>0</v>
      </c>
      <c r="S61" s="23">
        <v>238</v>
      </c>
      <c r="T61" s="23">
        <v>35.700000000000003</v>
      </c>
      <c r="U61" s="23">
        <v>69.02</v>
      </c>
      <c r="V61" s="23">
        <v>431.97</v>
      </c>
      <c r="W61" s="23">
        <v>1190</v>
      </c>
      <c r="X61" s="23">
        <v>0</v>
      </c>
      <c r="Y61" s="23">
        <v>0</v>
      </c>
      <c r="Z61" s="23">
        <v>0</v>
      </c>
      <c r="AA61" s="23">
        <v>0</v>
      </c>
      <c r="AB61" s="13">
        <f t="shared" si="1"/>
        <v>0</v>
      </c>
      <c r="AC61" s="13">
        <f t="shared" si="2"/>
        <v>0</v>
      </c>
      <c r="AD61" s="59" t="s">
        <v>93</v>
      </c>
      <c r="AE61" s="60">
        <v>1190</v>
      </c>
      <c r="AF61" s="60">
        <v>0</v>
      </c>
      <c r="AG61" s="60">
        <v>89.25</v>
      </c>
      <c r="AH61" s="60">
        <v>0</v>
      </c>
      <c r="AI61" s="13">
        <f t="shared" ref="AI61:AI72" si="17">(E61+F61+H61+I61)-AL61</f>
        <v>0</v>
      </c>
      <c r="AJ61" s="13">
        <f t="shared" ref="AJ61:AJ72" si="18">(J61+K61+L61+M61)-AM61</f>
        <v>0</v>
      </c>
      <c r="AK61" t="s">
        <v>93</v>
      </c>
      <c r="AL61" s="70">
        <v>1190</v>
      </c>
      <c r="AM61">
        <v>23.8</v>
      </c>
    </row>
    <row r="62" spans="1:39" ht="15" customHeight="1">
      <c r="A62" s="2" t="s">
        <v>94</v>
      </c>
      <c r="B62" s="2" t="s">
        <v>38</v>
      </c>
      <c r="C62" s="2" t="s">
        <v>33</v>
      </c>
      <c r="D62" s="2" t="s">
        <v>29</v>
      </c>
      <c r="E62" s="5">
        <v>3117.76</v>
      </c>
      <c r="F62" s="126">
        <v>0</v>
      </c>
      <c r="G62" s="126"/>
      <c r="H62" s="10">
        <v>0</v>
      </c>
      <c r="I62" s="3">
        <v>0</v>
      </c>
      <c r="J62" s="3">
        <v>249.42080000000001</v>
      </c>
      <c r="K62" s="3">
        <v>0</v>
      </c>
      <c r="L62" s="3">
        <v>0</v>
      </c>
      <c r="M62" s="3">
        <v>0</v>
      </c>
      <c r="N62" s="3">
        <v>3117.76</v>
      </c>
      <c r="O62" s="3">
        <v>0</v>
      </c>
      <c r="P62" s="3">
        <v>262.72000000000003</v>
      </c>
      <c r="Q62" s="3">
        <v>0</v>
      </c>
      <c r="R62" s="3">
        <v>0</v>
      </c>
      <c r="S62" s="3">
        <v>623.55200000000002</v>
      </c>
      <c r="T62" s="3">
        <v>93.532799999999995</v>
      </c>
      <c r="U62" s="3">
        <v>180.83008000000001</v>
      </c>
      <c r="V62" s="3">
        <v>1160.6348800000001</v>
      </c>
      <c r="W62" s="3">
        <v>3117.76</v>
      </c>
      <c r="X62" s="3">
        <v>0</v>
      </c>
      <c r="Y62" s="3">
        <v>0</v>
      </c>
      <c r="Z62" s="3">
        <v>0</v>
      </c>
      <c r="AA62" s="3">
        <v>0</v>
      </c>
      <c r="AB62" s="13">
        <f t="shared" si="1"/>
        <v>0</v>
      </c>
      <c r="AC62" s="13">
        <f t="shared" si="2"/>
        <v>0</v>
      </c>
      <c r="AD62" s="61" t="s">
        <v>94</v>
      </c>
      <c r="AE62" s="62">
        <v>3117.76</v>
      </c>
      <c r="AF62" s="62">
        <v>0</v>
      </c>
      <c r="AG62" s="62">
        <v>262.72000000000003</v>
      </c>
      <c r="AH62" s="62">
        <v>0</v>
      </c>
      <c r="AI62" s="13">
        <f t="shared" si="17"/>
        <v>0</v>
      </c>
      <c r="AJ62" s="13">
        <f t="shared" si="18"/>
        <v>8.0000000002655725E-4</v>
      </c>
      <c r="AK62" t="s">
        <v>94</v>
      </c>
      <c r="AL62" s="70">
        <v>3117.76</v>
      </c>
      <c r="AM62">
        <v>249.42</v>
      </c>
    </row>
    <row r="63" spans="1:39" ht="15" customHeight="1">
      <c r="A63" s="71" t="s">
        <v>95</v>
      </c>
      <c r="B63" s="71" t="s">
        <v>40</v>
      </c>
      <c r="C63" s="71" t="s">
        <v>28</v>
      </c>
      <c r="D63" s="71" t="s">
        <v>29</v>
      </c>
      <c r="E63" s="72">
        <v>1262.0999999999999</v>
      </c>
      <c r="F63" s="129">
        <v>0</v>
      </c>
      <c r="G63" s="130"/>
      <c r="H63" s="75">
        <v>0</v>
      </c>
      <c r="I63" s="73">
        <v>556.29999999999995</v>
      </c>
      <c r="J63" s="73">
        <v>100.968</v>
      </c>
      <c r="K63" s="73">
        <v>0</v>
      </c>
      <c r="L63" s="73">
        <v>0</v>
      </c>
      <c r="M63" s="73">
        <v>44.503999999999998</v>
      </c>
      <c r="N63" s="73">
        <v>1262.0999999999999</v>
      </c>
      <c r="O63" s="73">
        <v>556.29999999999995</v>
      </c>
      <c r="P63" s="73">
        <v>94.65</v>
      </c>
      <c r="Q63" s="73">
        <v>41.72</v>
      </c>
      <c r="R63" s="73">
        <v>0</v>
      </c>
      <c r="S63" s="3">
        <v>363.68</v>
      </c>
      <c r="T63" s="3">
        <v>54.552</v>
      </c>
      <c r="U63" s="3">
        <v>105.46720000000001</v>
      </c>
      <c r="V63" s="3">
        <v>660.06920000000002</v>
      </c>
      <c r="W63" s="3">
        <v>1262.0999999999999</v>
      </c>
      <c r="X63" s="3">
        <v>0</v>
      </c>
      <c r="Y63" s="3">
        <v>0</v>
      </c>
      <c r="Z63" s="3">
        <v>0</v>
      </c>
      <c r="AA63" s="3">
        <v>0</v>
      </c>
      <c r="AB63" s="13">
        <f t="shared" si="1"/>
        <v>0</v>
      </c>
      <c r="AC63" s="13">
        <f t="shared" si="2"/>
        <v>0</v>
      </c>
      <c r="AD63" s="63" t="s">
        <v>95</v>
      </c>
      <c r="AE63" s="64">
        <v>1262.0999999999999</v>
      </c>
      <c r="AF63" s="64">
        <v>556.29999999999995</v>
      </c>
      <c r="AG63" s="64">
        <v>94.65</v>
      </c>
      <c r="AH63" s="64">
        <v>41.72</v>
      </c>
      <c r="AI63" s="13">
        <f t="shared" si="17"/>
        <v>0</v>
      </c>
      <c r="AJ63" s="13">
        <f t="shared" si="18"/>
        <v>1.2000000000000455E-2</v>
      </c>
      <c r="AK63" t="s">
        <v>95</v>
      </c>
      <c r="AL63" s="70">
        <v>1818.4</v>
      </c>
      <c r="AM63">
        <v>145.46</v>
      </c>
    </row>
    <row r="64" spans="1:39" s="25" customFormat="1" ht="15" customHeight="1">
      <c r="A64" s="21" t="s">
        <v>96</v>
      </c>
      <c r="B64" s="21" t="s">
        <v>53</v>
      </c>
      <c r="C64" s="21" t="s">
        <v>33</v>
      </c>
      <c r="D64" s="21" t="s">
        <v>86</v>
      </c>
      <c r="E64" s="22">
        <v>610</v>
      </c>
      <c r="F64" s="128">
        <v>0</v>
      </c>
      <c r="G64" s="128"/>
      <c r="H64" s="24">
        <v>0</v>
      </c>
      <c r="I64" s="23">
        <v>0</v>
      </c>
      <c r="J64" s="23">
        <f>E64*0.02</f>
        <v>12.200000000000001</v>
      </c>
      <c r="K64" s="23">
        <v>0</v>
      </c>
      <c r="L64" s="23">
        <v>0</v>
      </c>
      <c r="M64" s="23">
        <v>0</v>
      </c>
      <c r="N64" s="23">
        <v>610</v>
      </c>
      <c r="O64" s="23">
        <v>0</v>
      </c>
      <c r="P64" s="23">
        <v>45.75</v>
      </c>
      <c r="Q64" s="23">
        <v>0</v>
      </c>
      <c r="R64" s="23">
        <v>0</v>
      </c>
      <c r="S64" s="23">
        <v>122</v>
      </c>
      <c r="T64" s="23">
        <v>18.3</v>
      </c>
      <c r="U64" s="23">
        <v>35.380000000000003</v>
      </c>
      <c r="V64" s="23">
        <v>221.43</v>
      </c>
      <c r="W64" s="23">
        <v>610</v>
      </c>
      <c r="X64" s="23">
        <v>0</v>
      </c>
      <c r="Y64" s="23">
        <v>0</v>
      </c>
      <c r="Z64" s="23">
        <v>0</v>
      </c>
      <c r="AA64" s="23">
        <v>0</v>
      </c>
      <c r="AB64" s="13">
        <f t="shared" si="1"/>
        <v>0</v>
      </c>
      <c r="AC64" s="13">
        <f t="shared" si="2"/>
        <v>0</v>
      </c>
      <c r="AD64" s="65" t="s">
        <v>96</v>
      </c>
      <c r="AE64" s="66">
        <v>610</v>
      </c>
      <c r="AF64" s="66">
        <v>0</v>
      </c>
      <c r="AG64" s="66">
        <v>45.75</v>
      </c>
      <c r="AH64" s="66">
        <v>0</v>
      </c>
      <c r="AI64" s="13">
        <f t="shared" si="17"/>
        <v>0</v>
      </c>
      <c r="AJ64" s="13">
        <f t="shared" si="18"/>
        <v>0</v>
      </c>
      <c r="AK64" t="s">
        <v>96</v>
      </c>
      <c r="AL64">
        <v>610</v>
      </c>
      <c r="AM64">
        <v>12.2</v>
      </c>
    </row>
    <row r="65" spans="1:39" ht="15" customHeight="1">
      <c r="A65" s="2" t="s">
        <v>97</v>
      </c>
      <c r="B65" s="2" t="s">
        <v>55</v>
      </c>
      <c r="C65" s="2" t="s">
        <v>33</v>
      </c>
      <c r="D65" s="2" t="s">
        <v>29</v>
      </c>
      <c r="E65" s="5">
        <v>2020.29</v>
      </c>
      <c r="F65" s="126">
        <v>0</v>
      </c>
      <c r="G65" s="126"/>
      <c r="H65" s="10">
        <v>0</v>
      </c>
      <c r="I65" s="3">
        <v>0</v>
      </c>
      <c r="J65" s="3">
        <v>161.6232</v>
      </c>
      <c r="K65" s="3">
        <v>0</v>
      </c>
      <c r="L65" s="3">
        <v>0</v>
      </c>
      <c r="M65" s="3">
        <v>0</v>
      </c>
      <c r="N65" s="3">
        <v>2020.29</v>
      </c>
      <c r="O65" s="3">
        <v>0</v>
      </c>
      <c r="P65" s="3">
        <v>157.5</v>
      </c>
      <c r="Q65" s="3">
        <v>0</v>
      </c>
      <c r="R65" s="3">
        <v>0</v>
      </c>
      <c r="S65" s="3">
        <v>404.05799999999999</v>
      </c>
      <c r="T65" s="3">
        <v>60.608699999999999</v>
      </c>
      <c r="U65" s="3">
        <v>117.17682000000001</v>
      </c>
      <c r="V65" s="3">
        <v>739.34352000000001</v>
      </c>
      <c r="W65" s="3">
        <v>2020.29</v>
      </c>
      <c r="X65" s="3">
        <v>0</v>
      </c>
      <c r="Y65" s="3">
        <v>0</v>
      </c>
      <c r="Z65" s="3">
        <v>0</v>
      </c>
      <c r="AA65" s="3">
        <v>0</v>
      </c>
      <c r="AB65" s="13">
        <f t="shared" si="1"/>
        <v>0</v>
      </c>
      <c r="AC65" s="13">
        <f t="shared" si="2"/>
        <v>0</v>
      </c>
      <c r="AD65" s="63" t="s">
        <v>97</v>
      </c>
      <c r="AE65" s="64">
        <v>2020.29</v>
      </c>
      <c r="AF65" s="64">
        <v>0</v>
      </c>
      <c r="AG65" s="64">
        <v>157.5</v>
      </c>
      <c r="AH65" s="64">
        <v>0</v>
      </c>
      <c r="AI65" s="13">
        <f t="shared" si="17"/>
        <v>0</v>
      </c>
      <c r="AJ65" s="13">
        <f t="shared" si="18"/>
        <v>3.1999999999925421E-3</v>
      </c>
      <c r="AK65" t="s">
        <v>97</v>
      </c>
      <c r="AL65" s="70">
        <v>2020.29</v>
      </c>
      <c r="AM65">
        <v>161.62</v>
      </c>
    </row>
    <row r="66" spans="1:39" s="25" customFormat="1" ht="15" customHeight="1">
      <c r="A66" s="21" t="s">
        <v>98</v>
      </c>
      <c r="B66" s="21" t="s">
        <v>53</v>
      </c>
      <c r="C66" s="21" t="s">
        <v>33</v>
      </c>
      <c r="D66" s="21" t="s">
        <v>86</v>
      </c>
      <c r="E66" s="22">
        <v>610</v>
      </c>
      <c r="F66" s="128">
        <v>0</v>
      </c>
      <c r="G66" s="128"/>
      <c r="H66" s="24">
        <v>0</v>
      </c>
      <c r="I66" s="23">
        <v>0</v>
      </c>
      <c r="J66" s="23">
        <f>E66*0.02</f>
        <v>12.200000000000001</v>
      </c>
      <c r="K66" s="23">
        <v>0</v>
      </c>
      <c r="L66" s="23">
        <v>0</v>
      </c>
      <c r="M66" s="23">
        <v>0</v>
      </c>
      <c r="N66" s="23">
        <v>610</v>
      </c>
      <c r="O66" s="23">
        <v>0</v>
      </c>
      <c r="P66" s="23">
        <v>45.75</v>
      </c>
      <c r="Q66" s="23">
        <v>0</v>
      </c>
      <c r="R66" s="23">
        <v>0</v>
      </c>
      <c r="S66" s="23">
        <v>122</v>
      </c>
      <c r="T66" s="23">
        <v>18.3</v>
      </c>
      <c r="U66" s="23">
        <v>35.380000000000003</v>
      </c>
      <c r="V66" s="23">
        <v>221.43</v>
      </c>
      <c r="W66" s="23">
        <v>610</v>
      </c>
      <c r="X66" s="23">
        <v>0</v>
      </c>
      <c r="Y66" s="23">
        <v>0</v>
      </c>
      <c r="Z66" s="23">
        <v>0</v>
      </c>
      <c r="AA66" s="23">
        <v>0</v>
      </c>
      <c r="AB66" s="13">
        <f t="shared" si="1"/>
        <v>0</v>
      </c>
      <c r="AC66" s="13">
        <f t="shared" si="2"/>
        <v>0</v>
      </c>
      <c r="AD66" s="65" t="s">
        <v>98</v>
      </c>
      <c r="AE66" s="66">
        <v>610</v>
      </c>
      <c r="AF66" s="66">
        <v>0</v>
      </c>
      <c r="AG66" s="66">
        <v>45.75</v>
      </c>
      <c r="AH66" s="66">
        <v>0</v>
      </c>
      <c r="AI66" s="13">
        <f t="shared" si="17"/>
        <v>0</v>
      </c>
      <c r="AJ66" s="13">
        <f t="shared" si="18"/>
        <v>0</v>
      </c>
      <c r="AK66" t="s">
        <v>98</v>
      </c>
      <c r="AL66">
        <v>610</v>
      </c>
      <c r="AM66">
        <v>12.2</v>
      </c>
    </row>
    <row r="67" spans="1:39" ht="15" customHeight="1">
      <c r="A67" s="2" t="s">
        <v>99</v>
      </c>
      <c r="B67" s="2" t="s">
        <v>40</v>
      </c>
      <c r="C67" s="2" t="s">
        <v>33</v>
      </c>
      <c r="D67" s="2" t="s">
        <v>29</v>
      </c>
      <c r="E67" s="5">
        <v>3247.4</v>
      </c>
      <c r="F67" s="126">
        <v>0</v>
      </c>
      <c r="G67" s="126"/>
      <c r="H67" s="10">
        <v>0</v>
      </c>
      <c r="I67" s="3">
        <v>0</v>
      </c>
      <c r="J67" s="3">
        <v>259.79199999999997</v>
      </c>
      <c r="K67" s="3">
        <v>0</v>
      </c>
      <c r="L67" s="3">
        <v>0</v>
      </c>
      <c r="M67" s="3">
        <v>0</v>
      </c>
      <c r="N67" s="3">
        <v>3247.4</v>
      </c>
      <c r="O67" s="3">
        <v>0</v>
      </c>
      <c r="P67" s="3">
        <v>278.27</v>
      </c>
      <c r="Q67" s="3">
        <v>0</v>
      </c>
      <c r="R67" s="3">
        <v>0</v>
      </c>
      <c r="S67" s="3">
        <v>649.48</v>
      </c>
      <c r="T67" s="3">
        <v>97.421999999999997</v>
      </c>
      <c r="U67" s="3">
        <v>188.3492</v>
      </c>
      <c r="V67" s="3">
        <v>1213.5211999999999</v>
      </c>
      <c r="W67" s="3">
        <v>3247.4</v>
      </c>
      <c r="X67" s="3">
        <v>0</v>
      </c>
      <c r="Y67" s="3">
        <v>0</v>
      </c>
      <c r="Z67" s="3">
        <v>0</v>
      </c>
      <c r="AA67" s="3">
        <v>0</v>
      </c>
      <c r="AB67" s="13">
        <f t="shared" si="1"/>
        <v>0</v>
      </c>
      <c r="AC67" s="13">
        <f t="shared" si="2"/>
        <v>0</v>
      </c>
      <c r="AD67" s="63" t="s">
        <v>99</v>
      </c>
      <c r="AE67" s="64">
        <v>3247.4</v>
      </c>
      <c r="AF67" s="64">
        <v>0</v>
      </c>
      <c r="AG67" s="64">
        <v>278.27</v>
      </c>
      <c r="AH67" s="64">
        <v>0</v>
      </c>
      <c r="AI67" s="13">
        <f t="shared" si="17"/>
        <v>0</v>
      </c>
      <c r="AJ67" s="13">
        <f t="shared" si="18"/>
        <v>1.9999999999527063E-3</v>
      </c>
      <c r="AK67" t="s">
        <v>99</v>
      </c>
      <c r="AL67" s="70">
        <v>3247.4</v>
      </c>
      <c r="AM67">
        <v>259.79000000000002</v>
      </c>
    </row>
    <row r="68" spans="1:39" ht="15" customHeight="1">
      <c r="A68" s="2" t="s">
        <v>100</v>
      </c>
      <c r="B68" s="2" t="s">
        <v>35</v>
      </c>
      <c r="C68" s="2" t="s">
        <v>33</v>
      </c>
      <c r="D68" s="2" t="s">
        <v>29</v>
      </c>
      <c r="E68" s="5">
        <v>5433.91</v>
      </c>
      <c r="F68" s="126">
        <v>0</v>
      </c>
      <c r="G68" s="126"/>
      <c r="H68" s="10">
        <v>0</v>
      </c>
      <c r="I68" s="3">
        <v>0</v>
      </c>
      <c r="J68" s="3">
        <v>434.71280000000002</v>
      </c>
      <c r="K68" s="3">
        <v>0</v>
      </c>
      <c r="L68" s="3">
        <v>0</v>
      </c>
      <c r="M68" s="3">
        <v>0</v>
      </c>
      <c r="N68" s="3">
        <v>5433.91</v>
      </c>
      <c r="O68" s="3">
        <v>0</v>
      </c>
      <c r="P68" s="3">
        <v>562.24</v>
      </c>
      <c r="Q68" s="3">
        <v>0</v>
      </c>
      <c r="R68" s="3">
        <v>0</v>
      </c>
      <c r="S68" s="3">
        <v>1086.7819999999999</v>
      </c>
      <c r="T68" s="3">
        <v>163.01730000000001</v>
      </c>
      <c r="U68" s="3">
        <v>315.16678000000002</v>
      </c>
      <c r="V68" s="3">
        <v>2127.2060799999999</v>
      </c>
      <c r="W68" s="3">
        <v>5433.91</v>
      </c>
      <c r="X68" s="3">
        <v>0</v>
      </c>
      <c r="Y68" s="3">
        <v>163.49</v>
      </c>
      <c r="Z68" s="3">
        <v>0</v>
      </c>
      <c r="AA68" s="3">
        <v>0</v>
      </c>
      <c r="AB68" s="13">
        <f t="shared" si="1"/>
        <v>0</v>
      </c>
      <c r="AC68" s="13">
        <f t="shared" si="2"/>
        <v>0</v>
      </c>
      <c r="AD68" s="65" t="s">
        <v>100</v>
      </c>
      <c r="AE68" s="66">
        <v>5433.91</v>
      </c>
      <c r="AF68" s="66">
        <v>0</v>
      </c>
      <c r="AG68" s="66">
        <v>562.24</v>
      </c>
      <c r="AH68" s="66">
        <v>0</v>
      </c>
      <c r="AI68" s="13">
        <f t="shared" si="17"/>
        <v>0</v>
      </c>
      <c r="AJ68" s="13">
        <f t="shared" si="18"/>
        <v>2.8000000000361069E-3</v>
      </c>
      <c r="AK68" t="s">
        <v>100</v>
      </c>
      <c r="AL68" s="70">
        <v>5433.91</v>
      </c>
      <c r="AM68">
        <v>434.71</v>
      </c>
    </row>
    <row r="69" spans="1:39" ht="15" customHeight="1">
      <c r="A69" s="2" t="s">
        <v>101</v>
      </c>
      <c r="B69" s="2" t="s">
        <v>50</v>
      </c>
      <c r="C69" s="2" t="s">
        <v>33</v>
      </c>
      <c r="D69" s="2" t="s">
        <v>29</v>
      </c>
      <c r="E69" s="5">
        <v>2127.56</v>
      </c>
      <c r="F69" s="126">
        <v>0</v>
      </c>
      <c r="G69" s="126"/>
      <c r="H69" s="10">
        <v>0</v>
      </c>
      <c r="I69" s="3">
        <v>0</v>
      </c>
      <c r="J69" s="3">
        <v>170.20480000000001</v>
      </c>
      <c r="K69" s="3">
        <v>0</v>
      </c>
      <c r="L69" s="3">
        <v>0</v>
      </c>
      <c r="M69" s="3">
        <v>0</v>
      </c>
      <c r="N69" s="3">
        <v>2127.56</v>
      </c>
      <c r="O69" s="3">
        <v>0</v>
      </c>
      <c r="P69" s="3">
        <v>167.16</v>
      </c>
      <c r="Q69" s="3">
        <v>0</v>
      </c>
      <c r="R69" s="3">
        <v>0</v>
      </c>
      <c r="S69" s="3">
        <v>425.512</v>
      </c>
      <c r="T69" s="3">
        <v>63.826799999999999</v>
      </c>
      <c r="U69" s="3">
        <v>123.39848000000001</v>
      </c>
      <c r="V69" s="3">
        <v>779.89728000000002</v>
      </c>
      <c r="W69" s="3">
        <v>2127.56</v>
      </c>
      <c r="X69" s="3">
        <v>0</v>
      </c>
      <c r="Y69" s="3">
        <v>0</v>
      </c>
      <c r="Z69" s="3">
        <v>0</v>
      </c>
      <c r="AA69" s="3">
        <v>0</v>
      </c>
      <c r="AB69" s="13">
        <f t="shared" si="1"/>
        <v>0</v>
      </c>
      <c r="AC69" s="13">
        <f t="shared" si="2"/>
        <v>0</v>
      </c>
      <c r="AD69" s="63" t="s">
        <v>101</v>
      </c>
      <c r="AE69" s="64">
        <v>2127.56</v>
      </c>
      <c r="AF69" s="64">
        <v>0</v>
      </c>
      <c r="AG69" s="64">
        <v>167.16</v>
      </c>
      <c r="AH69" s="64">
        <v>0</v>
      </c>
      <c r="AI69" s="13">
        <f t="shared" si="17"/>
        <v>0</v>
      </c>
      <c r="AJ69" s="13">
        <f t="shared" si="18"/>
        <v>4.8000000000172349E-3</v>
      </c>
      <c r="AK69" t="s">
        <v>101</v>
      </c>
      <c r="AL69" s="70">
        <v>2127.56</v>
      </c>
      <c r="AM69">
        <v>170.2</v>
      </c>
    </row>
    <row r="70" spans="1:39" ht="15" customHeight="1">
      <c r="A70" s="2" t="s">
        <v>102</v>
      </c>
      <c r="B70" s="2" t="s">
        <v>65</v>
      </c>
      <c r="C70" s="2" t="s">
        <v>33</v>
      </c>
      <c r="D70" s="2" t="s">
        <v>29</v>
      </c>
      <c r="E70" s="5">
        <v>2085.0700000000002</v>
      </c>
      <c r="F70" s="126">
        <v>0</v>
      </c>
      <c r="G70" s="126"/>
      <c r="H70" s="10">
        <v>0</v>
      </c>
      <c r="I70" s="3">
        <v>0</v>
      </c>
      <c r="J70" s="3">
        <v>166.8056</v>
      </c>
      <c r="K70" s="3">
        <v>0</v>
      </c>
      <c r="L70" s="3">
        <v>0</v>
      </c>
      <c r="M70" s="3">
        <v>0</v>
      </c>
      <c r="N70" s="3">
        <v>2085.0700000000002</v>
      </c>
      <c r="O70" s="3">
        <v>0</v>
      </c>
      <c r="P70" s="3">
        <v>163.33000000000001</v>
      </c>
      <c r="Q70" s="3">
        <v>0</v>
      </c>
      <c r="R70" s="3">
        <v>0</v>
      </c>
      <c r="S70" s="3">
        <v>417.01400000000001</v>
      </c>
      <c r="T70" s="3">
        <v>62.552100000000003</v>
      </c>
      <c r="U70" s="3">
        <v>120.93406</v>
      </c>
      <c r="V70" s="3">
        <v>763.83015999999998</v>
      </c>
      <c r="W70" s="3">
        <v>2085.0700000000002</v>
      </c>
      <c r="X70" s="3">
        <v>0</v>
      </c>
      <c r="Y70" s="3">
        <v>0</v>
      </c>
      <c r="Z70" s="3">
        <v>0</v>
      </c>
      <c r="AA70" s="3">
        <v>0</v>
      </c>
      <c r="AB70" s="13">
        <f t="shared" si="1"/>
        <v>0</v>
      </c>
      <c r="AC70" s="13">
        <f t="shared" si="2"/>
        <v>0</v>
      </c>
      <c r="AD70" s="65" t="s">
        <v>102</v>
      </c>
      <c r="AE70" s="66">
        <v>2085.0700000000002</v>
      </c>
      <c r="AF70" s="66">
        <v>0</v>
      </c>
      <c r="AG70" s="66">
        <v>163.33000000000001</v>
      </c>
      <c r="AH70" s="66">
        <v>0</v>
      </c>
      <c r="AI70" s="13">
        <f t="shared" si="17"/>
        <v>0</v>
      </c>
      <c r="AJ70" s="13">
        <f t="shared" si="18"/>
        <v>5.5999999999869488E-3</v>
      </c>
      <c r="AK70" t="s">
        <v>102</v>
      </c>
      <c r="AL70" s="70">
        <v>2085.0700000000002</v>
      </c>
      <c r="AM70">
        <v>166.8</v>
      </c>
    </row>
    <row r="71" spans="1:39" ht="15" customHeight="1">
      <c r="A71" s="2" t="s">
        <v>103</v>
      </c>
      <c r="B71" s="2" t="s">
        <v>50</v>
      </c>
      <c r="C71" s="2" t="s">
        <v>104</v>
      </c>
      <c r="D71" s="2" t="s">
        <v>29</v>
      </c>
      <c r="E71" s="5">
        <v>1634.54</v>
      </c>
      <c r="F71" s="126">
        <v>0</v>
      </c>
      <c r="G71" s="126"/>
      <c r="H71" s="10">
        <v>0</v>
      </c>
      <c r="I71" s="3">
        <v>0</v>
      </c>
      <c r="J71" s="3">
        <v>130.76320000000001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13">
        <f t="shared" ref="AB71" si="19">(N71+O71)-(AE71+AF71)</f>
        <v>0</v>
      </c>
      <c r="AC71" s="13">
        <f t="shared" ref="AC71" si="20">(P71+Q71)-(AG71+AH71)</f>
        <v>0</v>
      </c>
      <c r="AD71" s="67"/>
      <c r="AE71" s="68"/>
      <c r="AF71" s="68"/>
      <c r="AG71" s="68"/>
      <c r="AH71" s="68"/>
      <c r="AI71" s="13">
        <f t="shared" si="17"/>
        <v>0</v>
      </c>
      <c r="AJ71" s="13">
        <f t="shared" si="18"/>
        <v>3.2000000000209639E-3</v>
      </c>
      <c r="AK71" t="s">
        <v>103</v>
      </c>
      <c r="AL71" s="70">
        <v>1634.54</v>
      </c>
      <c r="AM71">
        <v>130.76</v>
      </c>
    </row>
    <row r="72" spans="1:39" ht="15" customHeight="1">
      <c r="A72" s="2" t="s">
        <v>105</v>
      </c>
      <c r="B72" s="2" t="s">
        <v>40</v>
      </c>
      <c r="C72" s="2" t="s">
        <v>33</v>
      </c>
      <c r="D72" s="2" t="s">
        <v>29</v>
      </c>
      <c r="E72" s="5">
        <v>2079.1999999999998</v>
      </c>
      <c r="F72" s="126">
        <v>0</v>
      </c>
      <c r="G72" s="126"/>
      <c r="H72" s="10">
        <v>0</v>
      </c>
      <c r="I72" s="3">
        <v>0</v>
      </c>
      <c r="J72" s="3">
        <v>166.33600000000001</v>
      </c>
      <c r="K72" s="3">
        <v>0</v>
      </c>
      <c r="L72" s="3">
        <v>0</v>
      </c>
      <c r="M72" s="3">
        <v>0</v>
      </c>
      <c r="N72" s="3">
        <v>2079.1999999999998</v>
      </c>
      <c r="O72" s="3">
        <v>0</v>
      </c>
      <c r="P72" s="3">
        <v>162.80000000000001</v>
      </c>
      <c r="Q72" s="3">
        <v>0</v>
      </c>
      <c r="R72" s="3">
        <v>0</v>
      </c>
      <c r="S72" s="3">
        <v>415.84</v>
      </c>
      <c r="T72" s="3">
        <v>62.375999999999998</v>
      </c>
      <c r="U72" s="3">
        <v>120.5936</v>
      </c>
      <c r="V72" s="3">
        <v>761.6096</v>
      </c>
      <c r="W72" s="3">
        <v>2079.1999999999998</v>
      </c>
      <c r="X72" s="3">
        <v>0</v>
      </c>
      <c r="Y72" s="3">
        <v>0</v>
      </c>
      <c r="Z72" s="3">
        <v>0</v>
      </c>
      <c r="AA72" s="3">
        <v>0</v>
      </c>
      <c r="AB72" s="13">
        <f t="shared" ref="AB72:AB128" si="21">(N72+O72)-(AE72+AF72)</f>
        <v>0</v>
      </c>
      <c r="AC72" s="13">
        <f t="shared" ref="AC72:AC128" si="22">(P72+Q72)-(AG72+AH72)</f>
        <v>0</v>
      </c>
      <c r="AD72" s="63" t="s">
        <v>105</v>
      </c>
      <c r="AE72" s="64">
        <v>2079.1999999999998</v>
      </c>
      <c r="AF72" s="64">
        <v>0</v>
      </c>
      <c r="AG72" s="64">
        <v>162.80000000000001</v>
      </c>
      <c r="AH72" s="64">
        <v>0</v>
      </c>
      <c r="AI72" s="13">
        <f t="shared" si="17"/>
        <v>0</v>
      </c>
      <c r="AJ72" s="13">
        <f t="shared" si="18"/>
        <v>6.0000000000002274E-3</v>
      </c>
      <c r="AK72" t="s">
        <v>105</v>
      </c>
      <c r="AL72" s="70">
        <v>2079.1999999999998</v>
      </c>
      <c r="AM72">
        <v>166.33</v>
      </c>
    </row>
    <row r="73" spans="1:39" ht="15" customHeight="1">
      <c r="A73" s="2" t="s">
        <v>106</v>
      </c>
      <c r="B73" s="2" t="s">
        <v>53</v>
      </c>
      <c r="C73" s="2" t="s">
        <v>33</v>
      </c>
      <c r="D73" s="2" t="s">
        <v>28</v>
      </c>
      <c r="E73" s="5">
        <v>0</v>
      </c>
      <c r="F73" s="126">
        <v>0</v>
      </c>
      <c r="G73" s="126"/>
      <c r="H73" s="10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932.31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932.31</v>
      </c>
      <c r="W73" s="3">
        <v>8475.5499999999993</v>
      </c>
      <c r="X73" s="3">
        <v>0</v>
      </c>
      <c r="Y73" s="3">
        <v>1113.52</v>
      </c>
      <c r="Z73" s="3">
        <v>0</v>
      </c>
      <c r="AA73" s="3">
        <v>0</v>
      </c>
      <c r="AB73" s="13">
        <f t="shared" si="21"/>
        <v>-8475.5499999999993</v>
      </c>
      <c r="AC73" s="13">
        <f t="shared" si="22"/>
        <v>0</v>
      </c>
      <c r="AD73" s="61" t="s">
        <v>106</v>
      </c>
      <c r="AE73" s="62">
        <v>8475.5499999999993</v>
      </c>
      <c r="AF73" s="62">
        <v>0</v>
      </c>
      <c r="AG73" s="62">
        <v>932.31</v>
      </c>
      <c r="AH73" s="62">
        <v>0</v>
      </c>
      <c r="AI73" s="13">
        <f t="shared" ref="AI73" si="23">(E73+F73+H73+I73)-AL73</f>
        <v>0</v>
      </c>
      <c r="AJ73" s="13">
        <f t="shared" ref="AJ73" si="24">(J73+K73+L73+M73)-AM73</f>
        <v>0</v>
      </c>
      <c r="AL73" s="70"/>
    </row>
    <row r="74" spans="1:39" ht="15" customHeight="1">
      <c r="A74" s="2" t="s">
        <v>107</v>
      </c>
      <c r="B74" s="2" t="s">
        <v>57</v>
      </c>
      <c r="C74" s="2" t="s">
        <v>33</v>
      </c>
      <c r="D74" s="2" t="s">
        <v>29</v>
      </c>
      <c r="E74" s="5">
        <v>2070.8000000000002</v>
      </c>
      <c r="F74" s="126">
        <v>0</v>
      </c>
      <c r="G74" s="126"/>
      <c r="H74" s="10">
        <v>0</v>
      </c>
      <c r="I74" s="3">
        <v>0</v>
      </c>
      <c r="J74" s="3">
        <v>165.66399999999999</v>
      </c>
      <c r="K74" s="3">
        <v>0</v>
      </c>
      <c r="L74" s="3">
        <v>0</v>
      </c>
      <c r="M74" s="3">
        <v>0</v>
      </c>
      <c r="N74" s="3">
        <v>2070.8000000000002</v>
      </c>
      <c r="O74" s="3">
        <v>0</v>
      </c>
      <c r="P74" s="3">
        <v>162.05000000000001</v>
      </c>
      <c r="Q74" s="3">
        <v>0</v>
      </c>
      <c r="R74" s="3">
        <v>0</v>
      </c>
      <c r="S74" s="3">
        <v>414.16</v>
      </c>
      <c r="T74" s="3">
        <v>62.124000000000002</v>
      </c>
      <c r="U74" s="3">
        <v>120.10639999999999</v>
      </c>
      <c r="V74" s="3">
        <v>758.44039999999995</v>
      </c>
      <c r="W74" s="3">
        <v>2070.8000000000002</v>
      </c>
      <c r="X74" s="3">
        <v>0</v>
      </c>
      <c r="Y74" s="3">
        <v>0</v>
      </c>
      <c r="Z74" s="3">
        <v>0</v>
      </c>
      <c r="AA74" s="3">
        <v>0</v>
      </c>
      <c r="AB74" s="13">
        <f t="shared" si="21"/>
        <v>0</v>
      </c>
      <c r="AC74" s="13">
        <f t="shared" si="22"/>
        <v>0</v>
      </c>
      <c r="AD74" s="63" t="s">
        <v>107</v>
      </c>
      <c r="AE74" s="64">
        <v>2070.8000000000002</v>
      </c>
      <c r="AF74" s="64">
        <v>0</v>
      </c>
      <c r="AG74" s="64">
        <v>162.05000000000001</v>
      </c>
      <c r="AH74" s="64">
        <v>0</v>
      </c>
      <c r="AI74" s="13">
        <f t="shared" ref="AI74:AI83" si="25">(E74+F74+H74+I74)-AL74</f>
        <v>0</v>
      </c>
      <c r="AJ74" s="13">
        <f t="shared" ref="AJ74:AJ83" si="26">(J74+K74+L74+M74)-AM74</f>
        <v>3.9999999999906777E-3</v>
      </c>
      <c r="AK74" t="s">
        <v>107</v>
      </c>
      <c r="AL74" s="70">
        <v>2070.8000000000002</v>
      </c>
      <c r="AM74">
        <v>165.66</v>
      </c>
    </row>
    <row r="75" spans="1:39" ht="15" customHeight="1">
      <c r="A75" s="2" t="s">
        <v>108</v>
      </c>
      <c r="B75" s="2" t="s">
        <v>42</v>
      </c>
      <c r="C75" s="2" t="s">
        <v>33</v>
      </c>
      <c r="D75" s="2" t="s">
        <v>29</v>
      </c>
      <c r="E75" s="5">
        <v>2029.34</v>
      </c>
      <c r="F75" s="126">
        <v>0</v>
      </c>
      <c r="G75" s="126"/>
      <c r="H75" s="10">
        <v>0</v>
      </c>
      <c r="I75" s="3">
        <v>0</v>
      </c>
      <c r="J75" s="3">
        <v>162.34719999999999</v>
      </c>
      <c r="K75" s="3">
        <v>0</v>
      </c>
      <c r="L75" s="3">
        <v>0</v>
      </c>
      <c r="M75" s="3">
        <v>0</v>
      </c>
      <c r="N75" s="3">
        <v>2029.34</v>
      </c>
      <c r="O75" s="3">
        <v>0</v>
      </c>
      <c r="P75" s="3">
        <v>158.32</v>
      </c>
      <c r="Q75" s="3">
        <v>0</v>
      </c>
      <c r="R75" s="3">
        <v>0</v>
      </c>
      <c r="S75" s="3">
        <v>405.86799999999999</v>
      </c>
      <c r="T75" s="3">
        <v>60.880200000000002</v>
      </c>
      <c r="U75" s="3">
        <v>117.70171999999999</v>
      </c>
      <c r="V75" s="3">
        <v>742.76991999999996</v>
      </c>
      <c r="W75" s="3">
        <v>2029.34</v>
      </c>
      <c r="X75" s="3">
        <v>0</v>
      </c>
      <c r="Y75" s="3">
        <v>0</v>
      </c>
      <c r="Z75" s="3">
        <v>0</v>
      </c>
      <c r="AA75" s="3">
        <v>0</v>
      </c>
      <c r="AB75" s="13">
        <f t="shared" si="21"/>
        <v>0</v>
      </c>
      <c r="AC75" s="13">
        <f t="shared" si="22"/>
        <v>0</v>
      </c>
      <c r="AD75" s="61" t="s">
        <v>108</v>
      </c>
      <c r="AE75" s="62">
        <v>2029.34</v>
      </c>
      <c r="AF75" s="62">
        <v>0</v>
      </c>
      <c r="AG75" s="62">
        <v>158.32</v>
      </c>
      <c r="AH75" s="62">
        <v>0</v>
      </c>
      <c r="AI75" s="13">
        <f t="shared" si="25"/>
        <v>0</v>
      </c>
      <c r="AJ75" s="13">
        <f t="shared" si="26"/>
        <v>7.1999999999832198E-3</v>
      </c>
      <c r="AK75" t="s">
        <v>108</v>
      </c>
      <c r="AL75" s="70">
        <v>2029.34</v>
      </c>
      <c r="AM75">
        <v>162.34</v>
      </c>
    </row>
    <row r="76" spans="1:39" ht="15" customHeight="1">
      <c r="A76" s="2" t="s">
        <v>109</v>
      </c>
      <c r="B76" s="2" t="s">
        <v>55</v>
      </c>
      <c r="C76" s="2" t="s">
        <v>33</v>
      </c>
      <c r="D76" s="2" t="s">
        <v>29</v>
      </c>
      <c r="E76" s="5">
        <v>2015.27</v>
      </c>
      <c r="F76" s="126">
        <v>0</v>
      </c>
      <c r="G76" s="126"/>
      <c r="H76" s="10">
        <v>0</v>
      </c>
      <c r="I76" s="3">
        <v>0</v>
      </c>
      <c r="J76" s="3">
        <v>161.2216</v>
      </c>
      <c r="K76" s="3">
        <v>0</v>
      </c>
      <c r="L76" s="3">
        <v>0</v>
      </c>
      <c r="M76" s="3">
        <v>0</v>
      </c>
      <c r="N76" s="3">
        <v>2015.27</v>
      </c>
      <c r="O76" s="3">
        <v>0</v>
      </c>
      <c r="P76" s="3">
        <v>157.05000000000001</v>
      </c>
      <c r="Q76" s="3">
        <v>0</v>
      </c>
      <c r="R76" s="3">
        <v>0</v>
      </c>
      <c r="S76" s="3">
        <v>403.05399999999997</v>
      </c>
      <c r="T76" s="3">
        <v>60.458100000000002</v>
      </c>
      <c r="U76" s="3">
        <v>116.88566</v>
      </c>
      <c r="V76" s="3">
        <v>737.44776000000002</v>
      </c>
      <c r="W76" s="3">
        <v>2015.27</v>
      </c>
      <c r="X76" s="3">
        <v>0</v>
      </c>
      <c r="Y76" s="3">
        <v>0</v>
      </c>
      <c r="Z76" s="3">
        <v>0</v>
      </c>
      <c r="AA76" s="3">
        <v>0</v>
      </c>
      <c r="AB76" s="13">
        <f t="shared" si="21"/>
        <v>0</v>
      </c>
      <c r="AC76" s="13">
        <f t="shared" si="22"/>
        <v>0</v>
      </c>
      <c r="AD76" s="59" t="s">
        <v>109</v>
      </c>
      <c r="AE76" s="60">
        <v>2015.27</v>
      </c>
      <c r="AF76" s="60">
        <v>0</v>
      </c>
      <c r="AG76" s="60">
        <v>157.05000000000001</v>
      </c>
      <c r="AH76" s="60">
        <v>0</v>
      </c>
      <c r="AI76" s="13">
        <f t="shared" si="25"/>
        <v>0</v>
      </c>
      <c r="AJ76" s="13">
        <f t="shared" si="26"/>
        <v>1.5999999999962711E-3</v>
      </c>
      <c r="AK76" t="s">
        <v>109</v>
      </c>
      <c r="AL76" s="70">
        <v>2015.27</v>
      </c>
      <c r="AM76">
        <v>161.22</v>
      </c>
    </row>
    <row r="77" spans="1:39" ht="15" customHeight="1">
      <c r="A77" s="2" t="s">
        <v>110</v>
      </c>
      <c r="B77" s="2" t="s">
        <v>40</v>
      </c>
      <c r="C77" s="2" t="s">
        <v>33</v>
      </c>
      <c r="D77" s="2" t="s">
        <v>29</v>
      </c>
      <c r="E77" s="5">
        <v>2079.1999999999998</v>
      </c>
      <c r="F77" s="126">
        <v>0</v>
      </c>
      <c r="G77" s="126"/>
      <c r="H77" s="10">
        <v>0</v>
      </c>
      <c r="I77" s="3">
        <v>0</v>
      </c>
      <c r="J77" s="3">
        <v>166.33600000000001</v>
      </c>
      <c r="K77" s="3">
        <v>0</v>
      </c>
      <c r="L77" s="3">
        <v>0</v>
      </c>
      <c r="M77" s="3">
        <v>0</v>
      </c>
      <c r="N77" s="3">
        <v>2079.1999999999998</v>
      </c>
      <c r="O77" s="3">
        <v>0</v>
      </c>
      <c r="P77" s="3">
        <v>162.80000000000001</v>
      </c>
      <c r="Q77" s="3">
        <v>0</v>
      </c>
      <c r="R77" s="3">
        <v>0</v>
      </c>
      <c r="S77" s="3">
        <v>415.84</v>
      </c>
      <c r="T77" s="3">
        <v>62.375999999999998</v>
      </c>
      <c r="U77" s="3">
        <v>120.5936</v>
      </c>
      <c r="V77" s="3">
        <v>761.6096</v>
      </c>
      <c r="W77" s="3">
        <v>2079.1999999999998</v>
      </c>
      <c r="X77" s="3">
        <v>0</v>
      </c>
      <c r="Y77" s="3">
        <v>0</v>
      </c>
      <c r="Z77" s="3">
        <v>0</v>
      </c>
      <c r="AA77" s="3">
        <v>0</v>
      </c>
      <c r="AB77" s="13">
        <f t="shared" si="21"/>
        <v>0</v>
      </c>
      <c r="AC77" s="13">
        <f t="shared" si="22"/>
        <v>0</v>
      </c>
      <c r="AD77" s="61" t="s">
        <v>110</v>
      </c>
      <c r="AE77" s="62">
        <v>2079.1999999999998</v>
      </c>
      <c r="AF77" s="62">
        <v>0</v>
      </c>
      <c r="AG77" s="62">
        <v>162.80000000000001</v>
      </c>
      <c r="AH77" s="62">
        <v>0</v>
      </c>
      <c r="AI77" s="13">
        <f t="shared" si="25"/>
        <v>0</v>
      </c>
      <c r="AJ77" s="13">
        <f t="shared" si="26"/>
        <v>6.0000000000002274E-3</v>
      </c>
      <c r="AK77" t="s">
        <v>110</v>
      </c>
      <c r="AL77" s="70">
        <v>2079.1999999999998</v>
      </c>
      <c r="AM77">
        <v>166.33</v>
      </c>
    </row>
    <row r="78" spans="1:39" ht="15" customHeight="1">
      <c r="A78" s="2" t="s">
        <v>111</v>
      </c>
      <c r="B78" s="2" t="s">
        <v>42</v>
      </c>
      <c r="C78" s="2" t="s">
        <v>33</v>
      </c>
      <c r="D78" s="2" t="s">
        <v>29</v>
      </c>
      <c r="E78" s="5">
        <v>2521.69</v>
      </c>
      <c r="F78" s="126">
        <v>0</v>
      </c>
      <c r="G78" s="126"/>
      <c r="H78" s="10">
        <v>0</v>
      </c>
      <c r="I78" s="3">
        <v>0</v>
      </c>
      <c r="J78" s="3">
        <v>201.73519999999999</v>
      </c>
      <c r="K78" s="3">
        <v>0</v>
      </c>
      <c r="L78" s="3">
        <v>0</v>
      </c>
      <c r="M78" s="3">
        <v>0</v>
      </c>
      <c r="N78" s="3">
        <v>2521.69</v>
      </c>
      <c r="O78" s="3">
        <v>0</v>
      </c>
      <c r="P78" s="3">
        <v>202.63</v>
      </c>
      <c r="Q78" s="3">
        <v>0</v>
      </c>
      <c r="R78" s="3">
        <v>0</v>
      </c>
      <c r="S78" s="3">
        <v>504.33800000000002</v>
      </c>
      <c r="T78" s="3">
        <v>75.650700000000001</v>
      </c>
      <c r="U78" s="3">
        <v>146.25801999999999</v>
      </c>
      <c r="V78" s="3">
        <v>928.87671999999998</v>
      </c>
      <c r="W78" s="3">
        <v>2521.69</v>
      </c>
      <c r="X78" s="3">
        <v>0</v>
      </c>
      <c r="Y78" s="3">
        <v>0</v>
      </c>
      <c r="Z78" s="3">
        <v>0</v>
      </c>
      <c r="AA78" s="3">
        <v>0</v>
      </c>
      <c r="AB78" s="13">
        <f t="shared" si="21"/>
        <v>0</v>
      </c>
      <c r="AC78" s="13">
        <f t="shared" si="22"/>
        <v>0</v>
      </c>
      <c r="AD78" s="63" t="s">
        <v>111</v>
      </c>
      <c r="AE78" s="64">
        <v>2521.69</v>
      </c>
      <c r="AF78" s="64">
        <v>0</v>
      </c>
      <c r="AG78" s="64">
        <v>202.63</v>
      </c>
      <c r="AH78" s="64">
        <v>0</v>
      </c>
      <c r="AI78" s="13">
        <f t="shared" si="25"/>
        <v>0</v>
      </c>
      <c r="AJ78" s="13">
        <f t="shared" si="26"/>
        <v>5.2000000000020918E-3</v>
      </c>
      <c r="AK78" t="s">
        <v>111</v>
      </c>
      <c r="AL78" s="70">
        <v>2521.69</v>
      </c>
      <c r="AM78">
        <v>201.73</v>
      </c>
    </row>
    <row r="79" spans="1:39" ht="15" customHeight="1">
      <c r="A79" s="2" t="s">
        <v>112</v>
      </c>
      <c r="B79" s="2" t="s">
        <v>38</v>
      </c>
      <c r="C79" s="2" t="s">
        <v>33</v>
      </c>
      <c r="D79" s="2" t="s">
        <v>29</v>
      </c>
      <c r="E79" s="5">
        <v>2115.92</v>
      </c>
      <c r="F79" s="126">
        <v>0</v>
      </c>
      <c r="G79" s="126"/>
      <c r="H79" s="10">
        <v>0</v>
      </c>
      <c r="I79" s="3">
        <v>0</v>
      </c>
      <c r="J79" s="3">
        <v>169.27359999999999</v>
      </c>
      <c r="K79" s="3">
        <v>0</v>
      </c>
      <c r="L79" s="3">
        <v>0</v>
      </c>
      <c r="M79" s="3">
        <v>0</v>
      </c>
      <c r="N79" s="3">
        <v>2115.92</v>
      </c>
      <c r="O79" s="3">
        <v>0</v>
      </c>
      <c r="P79" s="3">
        <v>166.11</v>
      </c>
      <c r="Q79" s="3">
        <v>0</v>
      </c>
      <c r="R79" s="3">
        <v>0</v>
      </c>
      <c r="S79" s="3">
        <v>423.18400000000003</v>
      </c>
      <c r="T79" s="3">
        <v>63.477600000000002</v>
      </c>
      <c r="U79" s="3">
        <v>122.72336</v>
      </c>
      <c r="V79" s="3">
        <v>775.49495999999999</v>
      </c>
      <c r="W79" s="3">
        <v>2115.92</v>
      </c>
      <c r="X79" s="3">
        <v>0</v>
      </c>
      <c r="Y79" s="3">
        <v>0</v>
      </c>
      <c r="Z79" s="3">
        <v>0</v>
      </c>
      <c r="AA79" s="3">
        <v>0</v>
      </c>
      <c r="AB79" s="13">
        <f t="shared" si="21"/>
        <v>0</v>
      </c>
      <c r="AC79" s="13">
        <f t="shared" si="22"/>
        <v>0</v>
      </c>
      <c r="AD79" s="61" t="s">
        <v>112</v>
      </c>
      <c r="AE79" s="62">
        <v>2115.92</v>
      </c>
      <c r="AF79" s="62">
        <v>0</v>
      </c>
      <c r="AG79" s="62">
        <v>166.11</v>
      </c>
      <c r="AH79" s="62">
        <v>0</v>
      </c>
      <c r="AI79" s="13">
        <f t="shared" si="25"/>
        <v>0</v>
      </c>
      <c r="AJ79" s="13">
        <f t="shared" si="26"/>
        <v>3.5999999999773991E-3</v>
      </c>
      <c r="AK79" t="s">
        <v>112</v>
      </c>
      <c r="AL79" s="70">
        <v>2115.92</v>
      </c>
      <c r="AM79">
        <v>169.27</v>
      </c>
    </row>
    <row r="80" spans="1:39" ht="15" customHeight="1">
      <c r="A80" s="2" t="s">
        <v>113</v>
      </c>
      <c r="B80" s="2" t="s">
        <v>35</v>
      </c>
      <c r="C80" s="2" t="s">
        <v>33</v>
      </c>
      <c r="D80" s="2" t="s">
        <v>29</v>
      </c>
      <c r="E80" s="5">
        <v>3750.55</v>
      </c>
      <c r="F80" s="126">
        <v>0</v>
      </c>
      <c r="G80" s="126"/>
      <c r="H80" s="10">
        <v>0</v>
      </c>
      <c r="I80" s="3">
        <v>0</v>
      </c>
      <c r="J80" s="3">
        <v>300.04399999999998</v>
      </c>
      <c r="K80" s="3">
        <v>0</v>
      </c>
      <c r="L80" s="3">
        <v>0</v>
      </c>
      <c r="M80" s="3">
        <v>0</v>
      </c>
      <c r="N80" s="3">
        <v>3750.55</v>
      </c>
      <c r="O80" s="3">
        <v>0</v>
      </c>
      <c r="P80" s="3">
        <v>338.65</v>
      </c>
      <c r="Q80" s="3">
        <v>0</v>
      </c>
      <c r="R80" s="3">
        <v>0</v>
      </c>
      <c r="S80" s="3">
        <v>750.11</v>
      </c>
      <c r="T80" s="3">
        <v>112.51649999999999</v>
      </c>
      <c r="U80" s="3">
        <v>217.53190000000001</v>
      </c>
      <c r="V80" s="3">
        <v>1418.8083999999999</v>
      </c>
      <c r="W80" s="3">
        <v>3750.55</v>
      </c>
      <c r="X80" s="3">
        <v>0</v>
      </c>
      <c r="Y80" s="3">
        <v>0</v>
      </c>
      <c r="Z80" s="3">
        <v>0</v>
      </c>
      <c r="AA80" s="3">
        <v>0</v>
      </c>
      <c r="AB80" s="13">
        <f t="shared" si="21"/>
        <v>0</v>
      </c>
      <c r="AC80" s="13">
        <f t="shared" si="22"/>
        <v>0</v>
      </c>
      <c r="AD80" s="63" t="s">
        <v>113</v>
      </c>
      <c r="AE80" s="64">
        <v>3750.55</v>
      </c>
      <c r="AF80" s="64">
        <v>0</v>
      </c>
      <c r="AG80" s="64">
        <v>338.65</v>
      </c>
      <c r="AH80" s="64">
        <v>0</v>
      </c>
      <c r="AI80" s="13">
        <f t="shared" si="25"/>
        <v>0</v>
      </c>
      <c r="AJ80" s="13">
        <f t="shared" si="26"/>
        <v>3.999999999962256E-3</v>
      </c>
      <c r="AK80" t="s">
        <v>113</v>
      </c>
      <c r="AL80" s="70">
        <v>3750.55</v>
      </c>
      <c r="AM80">
        <v>300.04000000000002</v>
      </c>
    </row>
    <row r="81" spans="1:39" ht="15" customHeight="1">
      <c r="A81" s="2" t="s">
        <v>114</v>
      </c>
      <c r="B81" s="2" t="s">
        <v>40</v>
      </c>
      <c r="C81" s="2" t="s">
        <v>33</v>
      </c>
      <c r="D81" s="2" t="s">
        <v>29</v>
      </c>
      <c r="E81" s="5">
        <v>1555.51</v>
      </c>
      <c r="F81" s="126">
        <v>0</v>
      </c>
      <c r="G81" s="126"/>
      <c r="H81" s="10">
        <v>0</v>
      </c>
      <c r="I81" s="3">
        <v>0</v>
      </c>
      <c r="J81" s="3">
        <v>124.4408</v>
      </c>
      <c r="K81" s="3">
        <v>0</v>
      </c>
      <c r="L81" s="3">
        <v>0</v>
      </c>
      <c r="M81" s="3">
        <v>0</v>
      </c>
      <c r="N81" s="3">
        <v>1555.51</v>
      </c>
      <c r="O81" s="3">
        <v>0</v>
      </c>
      <c r="P81" s="3">
        <v>116.66</v>
      </c>
      <c r="Q81" s="3">
        <v>0</v>
      </c>
      <c r="R81" s="3">
        <v>0</v>
      </c>
      <c r="S81" s="3">
        <v>311.10199999999998</v>
      </c>
      <c r="T81" s="3">
        <v>46.665300000000002</v>
      </c>
      <c r="U81" s="3">
        <v>90.219579999999993</v>
      </c>
      <c r="V81" s="3">
        <v>564.64688000000001</v>
      </c>
      <c r="W81" s="3">
        <v>1555.51</v>
      </c>
      <c r="X81" s="3">
        <v>0</v>
      </c>
      <c r="Y81" s="3">
        <v>0</v>
      </c>
      <c r="Z81" s="3">
        <v>0</v>
      </c>
      <c r="AA81" s="3">
        <v>0</v>
      </c>
      <c r="AB81" s="13">
        <f t="shared" si="21"/>
        <v>0</v>
      </c>
      <c r="AC81" s="13">
        <f t="shared" si="22"/>
        <v>0</v>
      </c>
      <c r="AD81" s="61" t="s">
        <v>114</v>
      </c>
      <c r="AE81" s="62">
        <v>1555.51</v>
      </c>
      <c r="AF81" s="62">
        <v>0</v>
      </c>
      <c r="AG81" s="62">
        <v>116.66</v>
      </c>
      <c r="AH81" s="62">
        <v>0</v>
      </c>
      <c r="AI81" s="13">
        <f t="shared" si="25"/>
        <v>0</v>
      </c>
      <c r="AJ81" s="13">
        <f t="shared" si="26"/>
        <v>7.9999999999813554E-4</v>
      </c>
      <c r="AK81" t="s">
        <v>114</v>
      </c>
      <c r="AL81" s="70">
        <v>1555.51</v>
      </c>
      <c r="AM81">
        <v>124.44</v>
      </c>
    </row>
    <row r="82" spans="1:39" ht="15" customHeight="1">
      <c r="A82" s="2" t="s">
        <v>115</v>
      </c>
      <c r="B82" s="2" t="s">
        <v>65</v>
      </c>
      <c r="C82" s="2" t="s">
        <v>33</v>
      </c>
      <c r="D82" s="2" t="s">
        <v>29</v>
      </c>
      <c r="E82" s="5">
        <v>2221.81</v>
      </c>
      <c r="F82" s="126">
        <v>0</v>
      </c>
      <c r="G82" s="126"/>
      <c r="H82" s="10">
        <v>0</v>
      </c>
      <c r="I82" s="3">
        <v>0</v>
      </c>
      <c r="J82" s="3">
        <v>177.7448</v>
      </c>
      <c r="K82" s="3">
        <v>0</v>
      </c>
      <c r="L82" s="3">
        <v>0</v>
      </c>
      <c r="M82" s="3">
        <v>0</v>
      </c>
      <c r="N82" s="3">
        <v>2221.81</v>
      </c>
      <c r="O82" s="3">
        <v>0</v>
      </c>
      <c r="P82" s="3">
        <v>175.64</v>
      </c>
      <c r="Q82" s="3">
        <v>0</v>
      </c>
      <c r="R82" s="3">
        <v>0</v>
      </c>
      <c r="S82" s="3">
        <v>444.36200000000002</v>
      </c>
      <c r="T82" s="3">
        <v>66.654300000000006</v>
      </c>
      <c r="U82" s="3">
        <v>128.86498</v>
      </c>
      <c r="V82" s="3">
        <v>815.52128000000005</v>
      </c>
      <c r="W82" s="3">
        <v>2221.81</v>
      </c>
      <c r="X82" s="3">
        <v>0</v>
      </c>
      <c r="Y82" s="3">
        <v>0</v>
      </c>
      <c r="Z82" s="3">
        <v>0</v>
      </c>
      <c r="AA82" s="3">
        <v>0</v>
      </c>
      <c r="AB82" s="13">
        <f t="shared" si="21"/>
        <v>0</v>
      </c>
      <c r="AC82" s="13">
        <f t="shared" si="22"/>
        <v>0</v>
      </c>
      <c r="AD82" s="63" t="s">
        <v>115</v>
      </c>
      <c r="AE82" s="64">
        <v>2221.81</v>
      </c>
      <c r="AF82" s="64">
        <v>0</v>
      </c>
      <c r="AG82" s="64">
        <v>175.64</v>
      </c>
      <c r="AH82" s="64">
        <v>0</v>
      </c>
      <c r="AI82" s="13">
        <f t="shared" si="25"/>
        <v>0</v>
      </c>
      <c r="AJ82" s="13">
        <f t="shared" si="26"/>
        <v>4.7999999999888132E-3</v>
      </c>
      <c r="AK82" t="s">
        <v>115</v>
      </c>
      <c r="AL82" s="70">
        <v>2221.81</v>
      </c>
      <c r="AM82">
        <v>177.74</v>
      </c>
    </row>
    <row r="83" spans="1:39" ht="15" customHeight="1">
      <c r="A83" s="2" t="s">
        <v>116</v>
      </c>
      <c r="B83" s="2" t="s">
        <v>44</v>
      </c>
      <c r="C83" s="2" t="s">
        <v>33</v>
      </c>
      <c r="D83" s="2" t="s">
        <v>29</v>
      </c>
      <c r="E83" s="5">
        <v>3386.8</v>
      </c>
      <c r="F83" s="126">
        <v>0</v>
      </c>
      <c r="G83" s="126"/>
      <c r="H83" s="10">
        <v>0</v>
      </c>
      <c r="I83" s="3">
        <v>0</v>
      </c>
      <c r="J83" s="3">
        <v>270.94400000000002</v>
      </c>
      <c r="K83" s="3">
        <v>0</v>
      </c>
      <c r="L83" s="3">
        <v>0</v>
      </c>
      <c r="M83" s="3">
        <v>0</v>
      </c>
      <c r="N83" s="3">
        <v>3386.8</v>
      </c>
      <c r="O83" s="3">
        <v>0</v>
      </c>
      <c r="P83" s="3">
        <v>295</v>
      </c>
      <c r="Q83" s="3">
        <v>0</v>
      </c>
      <c r="R83" s="3">
        <v>0</v>
      </c>
      <c r="S83" s="3">
        <v>677.36</v>
      </c>
      <c r="T83" s="3">
        <v>101.604</v>
      </c>
      <c r="U83" s="3">
        <v>196.43440000000001</v>
      </c>
      <c r="V83" s="3">
        <v>1270.3984</v>
      </c>
      <c r="W83" s="3">
        <v>3386.8</v>
      </c>
      <c r="X83" s="3">
        <v>0</v>
      </c>
      <c r="Y83" s="3">
        <v>0</v>
      </c>
      <c r="Z83" s="3">
        <v>0</v>
      </c>
      <c r="AA83" s="3">
        <v>0</v>
      </c>
      <c r="AB83" s="13">
        <f t="shared" si="21"/>
        <v>0</v>
      </c>
      <c r="AC83" s="13">
        <f t="shared" si="22"/>
        <v>0</v>
      </c>
      <c r="AD83" s="61" t="s">
        <v>116</v>
      </c>
      <c r="AE83" s="62">
        <v>3386.8</v>
      </c>
      <c r="AF83" s="62">
        <v>0</v>
      </c>
      <c r="AG83" s="62">
        <v>295</v>
      </c>
      <c r="AH83" s="62">
        <v>0</v>
      </c>
      <c r="AI83" s="13">
        <f t="shared" si="25"/>
        <v>0</v>
      </c>
      <c r="AJ83" s="13">
        <f t="shared" si="26"/>
        <v>4.0000000000190994E-3</v>
      </c>
      <c r="AK83" t="s">
        <v>116</v>
      </c>
      <c r="AL83" s="70">
        <v>3386.8</v>
      </c>
      <c r="AM83">
        <v>270.94</v>
      </c>
    </row>
    <row r="84" spans="1:39" ht="15" customHeight="1">
      <c r="A84" s="71" t="s">
        <v>117</v>
      </c>
      <c r="B84" s="71" t="s">
        <v>44</v>
      </c>
      <c r="C84" s="71" t="s">
        <v>28</v>
      </c>
      <c r="D84" s="71" t="s">
        <v>29</v>
      </c>
      <c r="E84" s="72">
        <v>1439.48</v>
      </c>
      <c r="F84" s="127">
        <v>282.66000000000003</v>
      </c>
      <c r="G84" s="127"/>
      <c r="H84" s="74">
        <v>0</v>
      </c>
      <c r="I84" s="73">
        <v>465.64</v>
      </c>
      <c r="J84" s="73">
        <v>115.1584</v>
      </c>
      <c r="K84" s="73">
        <v>22.6128</v>
      </c>
      <c r="L84" s="73">
        <v>0</v>
      </c>
      <c r="M84" s="73">
        <v>37.251199999999997</v>
      </c>
      <c r="N84" s="73">
        <v>1439.48</v>
      </c>
      <c r="O84" s="73">
        <v>465.64</v>
      </c>
      <c r="P84" s="73">
        <v>107.96</v>
      </c>
      <c r="Q84" s="73">
        <v>34.92</v>
      </c>
      <c r="R84" s="73">
        <v>0</v>
      </c>
      <c r="S84" s="3">
        <v>381.024</v>
      </c>
      <c r="T84" s="3">
        <v>57.153599999999997</v>
      </c>
      <c r="U84" s="3">
        <v>110.49696</v>
      </c>
      <c r="V84" s="3">
        <v>691.55456000000004</v>
      </c>
      <c r="W84" s="3">
        <v>1439.48</v>
      </c>
      <c r="X84" s="3">
        <v>0</v>
      </c>
      <c r="Y84" s="3">
        <v>0</v>
      </c>
      <c r="Z84" s="3">
        <v>0</v>
      </c>
      <c r="AA84" s="3">
        <v>0</v>
      </c>
      <c r="AB84" s="13">
        <f t="shared" si="21"/>
        <v>0</v>
      </c>
      <c r="AC84" s="13">
        <f t="shared" si="22"/>
        <v>0</v>
      </c>
      <c r="AD84" s="59" t="s">
        <v>117</v>
      </c>
      <c r="AE84" s="60">
        <v>1439.48</v>
      </c>
      <c r="AF84" s="60">
        <v>465.64</v>
      </c>
      <c r="AG84" s="60">
        <v>107.96</v>
      </c>
      <c r="AH84" s="60">
        <v>34.92</v>
      </c>
      <c r="AI84" s="13">
        <f t="shared" ref="AI84" si="27">(E84+F84+H84+I84)-AL84</f>
        <v>2187.7800000000002</v>
      </c>
      <c r="AJ84" s="13">
        <f t="shared" ref="AJ84" si="28">(J84+K84+L84+M84)-AM84</f>
        <v>175.0224</v>
      </c>
      <c r="AL84" s="70"/>
    </row>
    <row r="85" spans="1:39" ht="15" customHeight="1">
      <c r="A85" s="2" t="s">
        <v>118</v>
      </c>
      <c r="B85" s="2" t="s">
        <v>35</v>
      </c>
      <c r="C85" s="2" t="s">
        <v>33</v>
      </c>
      <c r="D85" s="2" t="s">
        <v>29</v>
      </c>
      <c r="E85" s="5">
        <v>3819.08</v>
      </c>
      <c r="F85" s="126">
        <v>0</v>
      </c>
      <c r="G85" s="126"/>
      <c r="H85" s="10">
        <v>0</v>
      </c>
      <c r="I85" s="3">
        <v>0</v>
      </c>
      <c r="J85" s="3">
        <v>305.52640000000002</v>
      </c>
      <c r="K85" s="3">
        <v>0</v>
      </c>
      <c r="L85" s="3">
        <v>0</v>
      </c>
      <c r="M85" s="3">
        <v>0</v>
      </c>
      <c r="N85" s="3">
        <v>3819.08</v>
      </c>
      <c r="O85" s="3">
        <v>0</v>
      </c>
      <c r="P85" s="3">
        <v>346.87</v>
      </c>
      <c r="Q85" s="3">
        <v>0</v>
      </c>
      <c r="R85" s="3">
        <v>0</v>
      </c>
      <c r="S85" s="3">
        <v>763.81600000000003</v>
      </c>
      <c r="T85" s="3">
        <v>114.5724</v>
      </c>
      <c r="U85" s="3">
        <v>221.50664</v>
      </c>
      <c r="V85" s="3">
        <v>1446.76504</v>
      </c>
      <c r="W85" s="3">
        <v>3819.08</v>
      </c>
      <c r="X85" s="3">
        <v>0</v>
      </c>
      <c r="Y85" s="3">
        <v>0</v>
      </c>
      <c r="Z85" s="3">
        <v>0</v>
      </c>
      <c r="AA85" s="3">
        <v>0</v>
      </c>
      <c r="AB85" s="13">
        <f t="shared" si="21"/>
        <v>0</v>
      </c>
      <c r="AC85" s="13">
        <f t="shared" si="22"/>
        <v>0</v>
      </c>
      <c r="AD85" s="65" t="s">
        <v>118</v>
      </c>
      <c r="AE85" s="66">
        <v>3819.08</v>
      </c>
      <c r="AF85" s="66">
        <v>0</v>
      </c>
      <c r="AG85" s="66">
        <v>346.87</v>
      </c>
      <c r="AH85" s="66">
        <v>0</v>
      </c>
      <c r="AI85" s="13">
        <f t="shared" ref="AI85:AI117" si="29">(E85+F85+H85+I85)-AL85</f>
        <v>0</v>
      </c>
      <c r="AJ85" s="13">
        <f t="shared" ref="AJ85:AJ117" si="30">(J85+K85+L85+M85)-AM85</f>
        <v>6.4000000000419277E-3</v>
      </c>
      <c r="AK85" t="s">
        <v>118</v>
      </c>
      <c r="AL85" s="70">
        <v>3819.08</v>
      </c>
      <c r="AM85">
        <v>305.52</v>
      </c>
    </row>
    <row r="86" spans="1:39" ht="15" customHeight="1">
      <c r="A86" s="2" t="s">
        <v>119</v>
      </c>
      <c r="B86" s="2" t="s">
        <v>48</v>
      </c>
      <c r="C86" s="2" t="s">
        <v>33</v>
      </c>
      <c r="D86" s="2" t="s">
        <v>29</v>
      </c>
      <c r="E86" s="5">
        <v>504.03</v>
      </c>
      <c r="F86" s="126">
        <v>0</v>
      </c>
      <c r="G86" s="126"/>
      <c r="H86" s="10">
        <v>0</v>
      </c>
      <c r="I86" s="3">
        <v>0</v>
      </c>
      <c r="J86" s="3">
        <v>40.322400000000002</v>
      </c>
      <c r="K86" s="3">
        <v>0</v>
      </c>
      <c r="L86" s="3">
        <v>0</v>
      </c>
      <c r="M86" s="3">
        <v>0</v>
      </c>
      <c r="N86" s="3">
        <v>504.03</v>
      </c>
      <c r="O86" s="3">
        <v>0</v>
      </c>
      <c r="P86" s="3">
        <v>37.799999999999997</v>
      </c>
      <c r="Q86" s="3">
        <v>0</v>
      </c>
      <c r="R86" s="3">
        <v>0</v>
      </c>
      <c r="S86" s="3">
        <v>100.806</v>
      </c>
      <c r="T86" s="3">
        <v>15.120900000000001</v>
      </c>
      <c r="U86" s="3">
        <v>29.233740000000001</v>
      </c>
      <c r="V86" s="3">
        <v>182.96064000000001</v>
      </c>
      <c r="W86" s="3">
        <v>504.03</v>
      </c>
      <c r="X86" s="3">
        <v>0</v>
      </c>
      <c r="Y86" s="3">
        <v>0</v>
      </c>
      <c r="Z86" s="3">
        <v>0</v>
      </c>
      <c r="AA86" s="3">
        <v>0</v>
      </c>
      <c r="AB86" s="13">
        <f t="shared" si="21"/>
        <v>0</v>
      </c>
      <c r="AC86" s="13">
        <f t="shared" si="22"/>
        <v>0</v>
      </c>
      <c r="AD86" s="59" t="s">
        <v>119</v>
      </c>
      <c r="AE86" s="60">
        <v>504.03</v>
      </c>
      <c r="AF86" s="60">
        <v>0</v>
      </c>
      <c r="AG86" s="60">
        <v>37.799999999999997</v>
      </c>
      <c r="AH86" s="60">
        <v>0</v>
      </c>
      <c r="AI86" s="13">
        <f t="shared" si="29"/>
        <v>0</v>
      </c>
      <c r="AJ86" s="13">
        <f t="shared" si="30"/>
        <v>2.400000000001512E-3</v>
      </c>
      <c r="AK86" t="s">
        <v>119</v>
      </c>
      <c r="AL86">
        <v>504.03</v>
      </c>
      <c r="AM86">
        <v>40.32</v>
      </c>
    </row>
    <row r="87" spans="1:39" ht="15" customHeight="1">
      <c r="A87" s="2" t="s">
        <v>120</v>
      </c>
      <c r="B87" s="2" t="s">
        <v>57</v>
      </c>
      <c r="C87" s="2" t="s">
        <v>33</v>
      </c>
      <c r="D87" s="2" t="s">
        <v>29</v>
      </c>
      <c r="E87" s="5">
        <v>2144.2800000000002</v>
      </c>
      <c r="F87" s="126">
        <v>0</v>
      </c>
      <c r="G87" s="126"/>
      <c r="H87" s="10">
        <v>0</v>
      </c>
      <c r="I87" s="3">
        <v>0</v>
      </c>
      <c r="J87" s="3">
        <v>171.54239999999999</v>
      </c>
      <c r="K87" s="3">
        <v>0</v>
      </c>
      <c r="L87" s="3">
        <v>0</v>
      </c>
      <c r="M87" s="3">
        <v>0</v>
      </c>
      <c r="N87" s="3">
        <v>2144.2800000000002</v>
      </c>
      <c r="O87" s="3">
        <v>0</v>
      </c>
      <c r="P87" s="3">
        <v>168.66</v>
      </c>
      <c r="Q87" s="3">
        <v>0</v>
      </c>
      <c r="R87" s="3">
        <v>0</v>
      </c>
      <c r="S87" s="3">
        <v>428.85599999999999</v>
      </c>
      <c r="T87" s="3">
        <v>64.328400000000002</v>
      </c>
      <c r="U87" s="3">
        <v>124.36824</v>
      </c>
      <c r="V87" s="3">
        <v>786.21263999999996</v>
      </c>
      <c r="W87" s="3">
        <v>2144.2800000000002</v>
      </c>
      <c r="X87" s="3">
        <v>0</v>
      </c>
      <c r="Y87" s="3">
        <v>0</v>
      </c>
      <c r="Z87" s="3">
        <v>0</v>
      </c>
      <c r="AA87" s="3">
        <v>0</v>
      </c>
      <c r="AB87" s="13">
        <f t="shared" si="21"/>
        <v>0</v>
      </c>
      <c r="AC87" s="13">
        <f t="shared" si="22"/>
        <v>0</v>
      </c>
      <c r="AD87" s="61" t="s">
        <v>120</v>
      </c>
      <c r="AE87" s="62">
        <v>2144.2800000000002</v>
      </c>
      <c r="AF87" s="62">
        <v>0</v>
      </c>
      <c r="AG87" s="62">
        <v>168.66</v>
      </c>
      <c r="AH87" s="62">
        <v>0</v>
      </c>
      <c r="AI87" s="13">
        <f t="shared" si="29"/>
        <v>0</v>
      </c>
      <c r="AJ87" s="13">
        <f t="shared" si="30"/>
        <v>2.3999999999944066E-3</v>
      </c>
      <c r="AK87" t="s">
        <v>120</v>
      </c>
      <c r="AL87" s="70">
        <v>2144.2800000000002</v>
      </c>
      <c r="AM87">
        <v>171.54</v>
      </c>
    </row>
    <row r="88" spans="1:39" ht="15" customHeight="1">
      <c r="A88" s="2" t="s">
        <v>121</v>
      </c>
      <c r="B88" s="2" t="s">
        <v>53</v>
      </c>
      <c r="C88" s="2" t="s">
        <v>33</v>
      </c>
      <c r="D88" s="2" t="s">
        <v>29</v>
      </c>
      <c r="E88" s="5">
        <v>3200</v>
      </c>
      <c r="F88" s="126">
        <v>0</v>
      </c>
      <c r="G88" s="126"/>
      <c r="H88" s="10">
        <v>0</v>
      </c>
      <c r="I88" s="3">
        <v>0</v>
      </c>
      <c r="J88" s="3">
        <v>256</v>
      </c>
      <c r="K88" s="3">
        <v>0</v>
      </c>
      <c r="L88" s="3">
        <v>0</v>
      </c>
      <c r="M88" s="3">
        <v>0</v>
      </c>
      <c r="N88" s="3">
        <v>3200</v>
      </c>
      <c r="O88" s="3">
        <v>0</v>
      </c>
      <c r="P88" s="3">
        <v>272.58</v>
      </c>
      <c r="Q88" s="3">
        <v>0</v>
      </c>
      <c r="R88" s="3">
        <v>0</v>
      </c>
      <c r="S88" s="3">
        <v>640</v>
      </c>
      <c r="T88" s="3">
        <v>96</v>
      </c>
      <c r="U88" s="3">
        <v>185.6</v>
      </c>
      <c r="V88" s="3">
        <v>1194.18</v>
      </c>
      <c r="W88" s="3">
        <v>3200</v>
      </c>
      <c r="X88" s="3">
        <v>0</v>
      </c>
      <c r="Y88" s="3">
        <v>0</v>
      </c>
      <c r="Z88" s="3">
        <v>0</v>
      </c>
      <c r="AA88" s="3">
        <v>0</v>
      </c>
      <c r="AB88" s="13">
        <f t="shared" si="21"/>
        <v>0</v>
      </c>
      <c r="AC88" s="13">
        <f t="shared" si="22"/>
        <v>0</v>
      </c>
      <c r="AD88" s="59" t="s">
        <v>121</v>
      </c>
      <c r="AE88" s="60">
        <v>3200</v>
      </c>
      <c r="AF88" s="60">
        <v>0</v>
      </c>
      <c r="AG88" s="60">
        <v>272.58</v>
      </c>
      <c r="AH88" s="60">
        <v>0</v>
      </c>
      <c r="AI88" s="13">
        <f t="shared" si="29"/>
        <v>0</v>
      </c>
      <c r="AJ88" s="13">
        <f t="shared" si="30"/>
        <v>0</v>
      </c>
      <c r="AK88" t="s">
        <v>121</v>
      </c>
      <c r="AL88" s="70">
        <v>3200</v>
      </c>
      <c r="AM88">
        <v>256</v>
      </c>
    </row>
    <row r="89" spans="1:39" ht="15" customHeight="1">
      <c r="A89" s="2" t="s">
        <v>122</v>
      </c>
      <c r="B89" s="2" t="s">
        <v>123</v>
      </c>
      <c r="C89" s="2" t="s">
        <v>33</v>
      </c>
      <c r="D89" s="2" t="s">
        <v>29</v>
      </c>
      <c r="E89" s="5">
        <v>2233.16</v>
      </c>
      <c r="F89" s="126">
        <v>0</v>
      </c>
      <c r="G89" s="126"/>
      <c r="H89" s="10">
        <v>0</v>
      </c>
      <c r="I89" s="3">
        <v>0</v>
      </c>
      <c r="J89" s="3">
        <v>178.65280000000001</v>
      </c>
      <c r="K89" s="3">
        <v>0</v>
      </c>
      <c r="L89" s="3">
        <v>0</v>
      </c>
      <c r="M89" s="3">
        <v>0</v>
      </c>
      <c r="N89" s="3">
        <v>2233.16</v>
      </c>
      <c r="O89" s="3">
        <v>0</v>
      </c>
      <c r="P89" s="3">
        <v>176.66</v>
      </c>
      <c r="Q89" s="3">
        <v>0</v>
      </c>
      <c r="R89" s="3">
        <v>0</v>
      </c>
      <c r="S89" s="3">
        <v>446.63200000000001</v>
      </c>
      <c r="T89" s="3">
        <v>66.994799999999998</v>
      </c>
      <c r="U89" s="3">
        <v>129.52328</v>
      </c>
      <c r="V89" s="3">
        <v>819.81007999999997</v>
      </c>
      <c r="W89" s="3">
        <v>2233.16</v>
      </c>
      <c r="X89" s="3">
        <v>0</v>
      </c>
      <c r="Y89" s="3">
        <v>0</v>
      </c>
      <c r="Z89" s="3">
        <v>0</v>
      </c>
      <c r="AA89" s="3">
        <v>0</v>
      </c>
      <c r="AB89" s="13">
        <f t="shared" si="21"/>
        <v>0</v>
      </c>
      <c r="AC89" s="13">
        <f t="shared" si="22"/>
        <v>0</v>
      </c>
      <c r="AD89" s="61" t="s">
        <v>122</v>
      </c>
      <c r="AE89" s="62">
        <v>2233.16</v>
      </c>
      <c r="AF89" s="62">
        <v>0</v>
      </c>
      <c r="AG89" s="62">
        <v>176.66</v>
      </c>
      <c r="AH89" s="62">
        <v>0</v>
      </c>
      <c r="AI89" s="13">
        <f t="shared" si="29"/>
        <v>0</v>
      </c>
      <c r="AJ89" s="13">
        <f t="shared" si="30"/>
        <v>2.8000000000076852E-3</v>
      </c>
      <c r="AK89" t="s">
        <v>122</v>
      </c>
      <c r="AL89" s="70">
        <v>2233.16</v>
      </c>
      <c r="AM89">
        <v>178.65</v>
      </c>
    </row>
    <row r="90" spans="1:39" ht="15" customHeight="1">
      <c r="A90" s="2" t="s">
        <v>124</v>
      </c>
      <c r="B90" s="2" t="s">
        <v>35</v>
      </c>
      <c r="C90" s="2" t="s">
        <v>33</v>
      </c>
      <c r="D90" s="2" t="s">
        <v>29</v>
      </c>
      <c r="E90" s="5">
        <v>2700</v>
      </c>
      <c r="F90" s="126">
        <v>0</v>
      </c>
      <c r="G90" s="126"/>
      <c r="H90" s="10">
        <v>0</v>
      </c>
      <c r="I90" s="3">
        <v>0</v>
      </c>
      <c r="J90" s="3">
        <v>216</v>
      </c>
      <c r="K90" s="3">
        <v>0</v>
      </c>
      <c r="L90" s="3">
        <v>0</v>
      </c>
      <c r="M90" s="3">
        <v>0</v>
      </c>
      <c r="N90" s="3">
        <v>2700</v>
      </c>
      <c r="O90" s="3">
        <v>0</v>
      </c>
      <c r="P90" s="3">
        <v>218.68</v>
      </c>
      <c r="Q90" s="3">
        <v>0</v>
      </c>
      <c r="R90" s="3">
        <v>0</v>
      </c>
      <c r="S90" s="3">
        <v>540</v>
      </c>
      <c r="T90" s="3">
        <v>81</v>
      </c>
      <c r="U90" s="3">
        <v>156.6</v>
      </c>
      <c r="V90" s="3">
        <v>996.28</v>
      </c>
      <c r="W90" s="3">
        <v>2700</v>
      </c>
      <c r="X90" s="3">
        <v>0</v>
      </c>
      <c r="Y90" s="3">
        <v>0</v>
      </c>
      <c r="Z90" s="3">
        <v>0</v>
      </c>
      <c r="AA90" s="3">
        <v>0</v>
      </c>
      <c r="AB90" s="13">
        <f t="shared" si="21"/>
        <v>0</v>
      </c>
      <c r="AC90" s="13">
        <f t="shared" si="22"/>
        <v>0</v>
      </c>
      <c r="AD90" s="63" t="s">
        <v>124</v>
      </c>
      <c r="AE90" s="64">
        <v>2700</v>
      </c>
      <c r="AF90" s="64">
        <v>0</v>
      </c>
      <c r="AG90" s="64">
        <v>218.68</v>
      </c>
      <c r="AH90" s="64">
        <v>0</v>
      </c>
      <c r="AI90" s="13">
        <f t="shared" si="29"/>
        <v>0</v>
      </c>
      <c r="AJ90" s="13">
        <f t="shared" si="30"/>
        <v>0</v>
      </c>
      <c r="AK90" t="s">
        <v>124</v>
      </c>
      <c r="AL90" s="70">
        <v>2700</v>
      </c>
      <c r="AM90">
        <v>216</v>
      </c>
    </row>
    <row r="91" spans="1:39" ht="15" customHeight="1">
      <c r="A91" s="2" t="s">
        <v>125</v>
      </c>
      <c r="B91" s="2" t="s">
        <v>48</v>
      </c>
      <c r="C91" s="2" t="s">
        <v>33</v>
      </c>
      <c r="D91" s="2" t="s">
        <v>29</v>
      </c>
      <c r="E91" s="5">
        <v>2012.01</v>
      </c>
      <c r="F91" s="126">
        <v>0</v>
      </c>
      <c r="G91" s="126"/>
      <c r="H91" s="10">
        <v>0</v>
      </c>
      <c r="I91" s="3">
        <v>0</v>
      </c>
      <c r="J91" s="3">
        <v>160.96080000000001</v>
      </c>
      <c r="K91" s="3">
        <v>0</v>
      </c>
      <c r="L91" s="3">
        <v>0</v>
      </c>
      <c r="M91" s="3">
        <v>0</v>
      </c>
      <c r="N91" s="3">
        <v>2012.01</v>
      </c>
      <c r="O91" s="3">
        <v>0</v>
      </c>
      <c r="P91" s="3">
        <v>156.76</v>
      </c>
      <c r="Q91" s="3">
        <v>0</v>
      </c>
      <c r="R91" s="3">
        <v>0</v>
      </c>
      <c r="S91" s="3">
        <v>402.40199999999999</v>
      </c>
      <c r="T91" s="3">
        <v>60.360300000000002</v>
      </c>
      <c r="U91" s="3">
        <v>116.69658</v>
      </c>
      <c r="V91" s="3">
        <v>736.21888000000001</v>
      </c>
      <c r="W91" s="3">
        <v>2012.01</v>
      </c>
      <c r="X91" s="3">
        <v>0</v>
      </c>
      <c r="Y91" s="3">
        <v>0</v>
      </c>
      <c r="Z91" s="3">
        <v>0</v>
      </c>
      <c r="AA91" s="3">
        <v>0</v>
      </c>
      <c r="AB91" s="13">
        <f t="shared" si="21"/>
        <v>0</v>
      </c>
      <c r="AC91" s="13">
        <f t="shared" si="22"/>
        <v>0</v>
      </c>
      <c r="AD91" s="61" t="s">
        <v>125</v>
      </c>
      <c r="AE91" s="62">
        <v>2012.01</v>
      </c>
      <c r="AF91" s="62">
        <v>0</v>
      </c>
      <c r="AG91" s="62">
        <v>156.76</v>
      </c>
      <c r="AH91" s="62">
        <v>0</v>
      </c>
      <c r="AI91" s="13">
        <f t="shared" si="29"/>
        <v>0</v>
      </c>
      <c r="AJ91" s="13">
        <f t="shared" si="30"/>
        <v>7.9999999999813554E-4</v>
      </c>
      <c r="AK91" t="s">
        <v>125</v>
      </c>
      <c r="AL91" s="70">
        <v>2012.01</v>
      </c>
      <c r="AM91">
        <v>160.96</v>
      </c>
    </row>
    <row r="92" spans="1:39" s="25" customFormat="1" ht="15" customHeight="1">
      <c r="A92" s="21" t="s">
        <v>126</v>
      </c>
      <c r="B92" s="21" t="s">
        <v>53</v>
      </c>
      <c r="C92" s="21" t="s">
        <v>33</v>
      </c>
      <c r="D92" s="21" t="s">
        <v>86</v>
      </c>
      <c r="E92" s="22">
        <v>2090</v>
      </c>
      <c r="F92" s="128">
        <v>0</v>
      </c>
      <c r="G92" s="128"/>
      <c r="H92" s="24">
        <v>0</v>
      </c>
      <c r="I92" s="23">
        <v>0</v>
      </c>
      <c r="J92" s="23">
        <f>E92*0.02</f>
        <v>41.800000000000004</v>
      </c>
      <c r="K92" s="23">
        <v>0</v>
      </c>
      <c r="L92" s="23">
        <v>0</v>
      </c>
      <c r="M92" s="23">
        <v>0</v>
      </c>
      <c r="N92" s="23">
        <v>2090</v>
      </c>
      <c r="O92" s="23">
        <v>0</v>
      </c>
      <c r="P92" s="23">
        <v>163.78</v>
      </c>
      <c r="Q92" s="23">
        <v>0</v>
      </c>
      <c r="R92" s="23">
        <v>0</v>
      </c>
      <c r="S92" s="23">
        <v>418</v>
      </c>
      <c r="T92" s="23">
        <v>62.7</v>
      </c>
      <c r="U92" s="23">
        <v>121.22</v>
      </c>
      <c r="V92" s="23">
        <v>765.7</v>
      </c>
      <c r="W92" s="23">
        <v>2090</v>
      </c>
      <c r="X92" s="23">
        <v>0</v>
      </c>
      <c r="Y92" s="23">
        <v>0</v>
      </c>
      <c r="Z92" s="23">
        <v>0</v>
      </c>
      <c r="AA92" s="23">
        <v>0</v>
      </c>
      <c r="AB92" s="13">
        <f t="shared" si="21"/>
        <v>0</v>
      </c>
      <c r="AC92" s="13">
        <f t="shared" si="22"/>
        <v>0</v>
      </c>
      <c r="AD92" s="59" t="s">
        <v>126</v>
      </c>
      <c r="AE92" s="60">
        <v>2090</v>
      </c>
      <c r="AF92" s="60">
        <v>0</v>
      </c>
      <c r="AG92" s="60">
        <v>163.78</v>
      </c>
      <c r="AH92" s="60">
        <v>0</v>
      </c>
      <c r="AI92" s="13">
        <f t="shared" si="29"/>
        <v>0</v>
      </c>
      <c r="AJ92" s="13">
        <f t="shared" si="30"/>
        <v>0</v>
      </c>
      <c r="AK92" t="s">
        <v>126</v>
      </c>
      <c r="AL92" s="70">
        <v>2090</v>
      </c>
      <c r="AM92">
        <v>41.8</v>
      </c>
    </row>
    <row r="93" spans="1:39" ht="15" customHeight="1">
      <c r="A93" s="2" t="s">
        <v>127</v>
      </c>
      <c r="B93" s="2" t="s">
        <v>48</v>
      </c>
      <c r="C93" s="2" t="s">
        <v>33</v>
      </c>
      <c r="D93" s="2" t="s">
        <v>29</v>
      </c>
      <c r="E93" s="5">
        <v>622.16</v>
      </c>
      <c r="F93" s="126">
        <v>0</v>
      </c>
      <c r="G93" s="126"/>
      <c r="H93" s="10">
        <v>0</v>
      </c>
      <c r="I93" s="3">
        <v>0</v>
      </c>
      <c r="J93" s="3">
        <v>49.772799999999997</v>
      </c>
      <c r="K93" s="3">
        <v>0</v>
      </c>
      <c r="L93" s="3">
        <v>0</v>
      </c>
      <c r="M93" s="3">
        <v>0</v>
      </c>
      <c r="N93" s="3">
        <v>622.16</v>
      </c>
      <c r="O93" s="3">
        <v>0</v>
      </c>
      <c r="P93" s="3">
        <v>46.66</v>
      </c>
      <c r="Q93" s="3">
        <v>0</v>
      </c>
      <c r="R93" s="3">
        <v>0</v>
      </c>
      <c r="S93" s="3">
        <v>124.432</v>
      </c>
      <c r="T93" s="3">
        <v>18.6648</v>
      </c>
      <c r="U93" s="3">
        <v>36.085279999999997</v>
      </c>
      <c r="V93" s="3">
        <v>205.58207999999999</v>
      </c>
      <c r="W93" s="3">
        <v>622.16</v>
      </c>
      <c r="X93" s="3">
        <v>0</v>
      </c>
      <c r="Y93" s="3">
        <v>0</v>
      </c>
      <c r="Z93" s="3">
        <v>0</v>
      </c>
      <c r="AA93" s="3">
        <v>0</v>
      </c>
      <c r="AB93" s="13">
        <f t="shared" si="21"/>
        <v>0</v>
      </c>
      <c r="AC93" s="13">
        <f t="shared" si="22"/>
        <v>0</v>
      </c>
      <c r="AD93" s="61" t="s">
        <v>127</v>
      </c>
      <c r="AE93" s="62">
        <v>622.16</v>
      </c>
      <c r="AF93" s="62">
        <v>0</v>
      </c>
      <c r="AG93" s="62">
        <v>46.66</v>
      </c>
      <c r="AH93" s="62">
        <v>0</v>
      </c>
      <c r="AI93" s="13">
        <f t="shared" si="29"/>
        <v>0</v>
      </c>
      <c r="AJ93" s="13">
        <f t="shared" si="30"/>
        <v>2.7999999999934744E-3</v>
      </c>
      <c r="AK93" t="s">
        <v>127</v>
      </c>
      <c r="AL93">
        <v>622.16</v>
      </c>
      <c r="AM93">
        <v>49.77</v>
      </c>
    </row>
    <row r="94" spans="1:39" ht="15" customHeight="1">
      <c r="A94" s="2" t="s">
        <v>128</v>
      </c>
      <c r="B94" s="2" t="s">
        <v>48</v>
      </c>
      <c r="C94" s="2" t="s">
        <v>33</v>
      </c>
      <c r="D94" s="2" t="s">
        <v>29</v>
      </c>
      <c r="E94" s="5">
        <v>2345.6</v>
      </c>
      <c r="F94" s="126">
        <v>0</v>
      </c>
      <c r="G94" s="126"/>
      <c r="H94" s="10">
        <v>0</v>
      </c>
      <c r="I94" s="3">
        <v>0</v>
      </c>
      <c r="J94" s="3">
        <v>187.648</v>
      </c>
      <c r="K94" s="3">
        <v>0</v>
      </c>
      <c r="L94" s="3">
        <v>0</v>
      </c>
      <c r="M94" s="3">
        <v>0</v>
      </c>
      <c r="N94" s="3">
        <v>2345.6</v>
      </c>
      <c r="O94" s="3">
        <v>0</v>
      </c>
      <c r="P94" s="3">
        <v>186.78</v>
      </c>
      <c r="Q94" s="3">
        <v>0</v>
      </c>
      <c r="R94" s="3">
        <v>0</v>
      </c>
      <c r="S94" s="3">
        <v>469.12</v>
      </c>
      <c r="T94" s="3">
        <v>70.367999999999995</v>
      </c>
      <c r="U94" s="3">
        <v>136.04480000000001</v>
      </c>
      <c r="V94" s="3">
        <v>862.31280000000004</v>
      </c>
      <c r="W94" s="3">
        <v>2345.6</v>
      </c>
      <c r="X94" s="3">
        <v>0</v>
      </c>
      <c r="Y94" s="3">
        <v>0</v>
      </c>
      <c r="Z94" s="3">
        <v>0</v>
      </c>
      <c r="AA94" s="3">
        <v>0</v>
      </c>
      <c r="AB94" s="13">
        <f t="shared" si="21"/>
        <v>0</v>
      </c>
      <c r="AC94" s="13">
        <f t="shared" si="22"/>
        <v>0</v>
      </c>
      <c r="AD94" s="63" t="s">
        <v>128</v>
      </c>
      <c r="AE94" s="64">
        <v>2345.6</v>
      </c>
      <c r="AF94" s="64">
        <v>0</v>
      </c>
      <c r="AG94" s="64">
        <v>186.78</v>
      </c>
      <c r="AH94" s="64">
        <v>0</v>
      </c>
      <c r="AI94" s="13">
        <f t="shared" si="29"/>
        <v>0</v>
      </c>
      <c r="AJ94" s="13">
        <f t="shared" si="30"/>
        <v>8.0000000000097771E-3</v>
      </c>
      <c r="AK94" t="s">
        <v>128</v>
      </c>
      <c r="AL94" s="70">
        <v>2345.6</v>
      </c>
      <c r="AM94">
        <v>187.64</v>
      </c>
    </row>
    <row r="95" spans="1:39" ht="15" customHeight="1">
      <c r="A95" s="2" t="s">
        <v>129</v>
      </c>
      <c r="B95" s="2" t="s">
        <v>48</v>
      </c>
      <c r="C95" s="2" t="s">
        <v>33</v>
      </c>
      <c r="D95" s="2" t="s">
        <v>29</v>
      </c>
      <c r="E95" s="5">
        <v>1071.8399999999999</v>
      </c>
      <c r="F95" s="126">
        <v>0</v>
      </c>
      <c r="G95" s="126"/>
      <c r="H95" s="10">
        <v>0</v>
      </c>
      <c r="I95" s="3">
        <v>0</v>
      </c>
      <c r="J95" s="3">
        <v>85.747200000000007</v>
      </c>
      <c r="K95" s="3">
        <v>0</v>
      </c>
      <c r="L95" s="3">
        <v>0</v>
      </c>
      <c r="M95" s="3">
        <v>0</v>
      </c>
      <c r="N95" s="3">
        <v>1071.8399999999999</v>
      </c>
      <c r="O95" s="3">
        <v>0</v>
      </c>
      <c r="P95" s="3">
        <v>80.38</v>
      </c>
      <c r="Q95" s="3">
        <v>0</v>
      </c>
      <c r="R95" s="3">
        <v>0</v>
      </c>
      <c r="S95" s="3">
        <v>214.36799999999999</v>
      </c>
      <c r="T95" s="3">
        <v>32.155200000000001</v>
      </c>
      <c r="U95" s="3">
        <v>62.166719999999998</v>
      </c>
      <c r="V95" s="3">
        <v>389.06992000000002</v>
      </c>
      <c r="W95" s="3">
        <v>1071.8399999999999</v>
      </c>
      <c r="X95" s="3">
        <v>0</v>
      </c>
      <c r="Y95" s="3">
        <v>0</v>
      </c>
      <c r="Z95" s="3">
        <v>0</v>
      </c>
      <c r="AA95" s="3">
        <v>0</v>
      </c>
      <c r="AB95" s="13">
        <f t="shared" si="21"/>
        <v>0</v>
      </c>
      <c r="AC95" s="13">
        <f t="shared" si="22"/>
        <v>0</v>
      </c>
      <c r="AD95" s="61" t="s">
        <v>129</v>
      </c>
      <c r="AE95" s="62">
        <v>1071.8399999999999</v>
      </c>
      <c r="AF95" s="62">
        <v>0</v>
      </c>
      <c r="AG95" s="62">
        <v>80.38</v>
      </c>
      <c r="AH95" s="62">
        <v>0</v>
      </c>
      <c r="AI95" s="13">
        <f t="shared" si="29"/>
        <v>0</v>
      </c>
      <c r="AJ95" s="13">
        <f t="shared" si="30"/>
        <v>7.2000000000116415E-3</v>
      </c>
      <c r="AK95" t="s">
        <v>129</v>
      </c>
      <c r="AL95" s="70">
        <v>1071.8399999999999</v>
      </c>
      <c r="AM95">
        <v>85.74</v>
      </c>
    </row>
    <row r="96" spans="1:39" ht="15" customHeight="1">
      <c r="A96" s="2" t="s">
        <v>130</v>
      </c>
      <c r="B96" s="2" t="s">
        <v>35</v>
      </c>
      <c r="C96" s="2" t="s">
        <v>33</v>
      </c>
      <c r="D96" s="2" t="s">
        <v>29</v>
      </c>
      <c r="E96" s="5">
        <v>4377.3999999999996</v>
      </c>
      <c r="F96" s="126">
        <v>0</v>
      </c>
      <c r="G96" s="126"/>
      <c r="H96" s="10">
        <v>0</v>
      </c>
      <c r="I96" s="3">
        <v>0</v>
      </c>
      <c r="J96" s="3">
        <v>350.19200000000001</v>
      </c>
      <c r="K96" s="3">
        <v>0</v>
      </c>
      <c r="L96" s="3">
        <v>0</v>
      </c>
      <c r="M96" s="3">
        <v>0</v>
      </c>
      <c r="N96" s="3">
        <v>4377.3999999999996</v>
      </c>
      <c r="O96" s="3">
        <v>0</v>
      </c>
      <c r="P96" s="3">
        <v>414.33</v>
      </c>
      <c r="Q96" s="3">
        <v>0</v>
      </c>
      <c r="R96" s="3">
        <v>0</v>
      </c>
      <c r="S96" s="3">
        <v>875.48</v>
      </c>
      <c r="T96" s="3">
        <v>131.322</v>
      </c>
      <c r="U96" s="3">
        <v>253.88919999999999</v>
      </c>
      <c r="V96" s="3">
        <v>1675.0211999999999</v>
      </c>
      <c r="W96" s="3">
        <v>4377.3999999999996</v>
      </c>
      <c r="X96" s="3">
        <v>0</v>
      </c>
      <c r="Y96" s="3">
        <v>0</v>
      </c>
      <c r="Z96" s="3">
        <v>0</v>
      </c>
      <c r="AA96" s="3">
        <v>0</v>
      </c>
      <c r="AB96" s="13">
        <f t="shared" si="21"/>
        <v>0</v>
      </c>
      <c r="AC96" s="13">
        <f t="shared" si="22"/>
        <v>0</v>
      </c>
      <c r="AD96" s="59" t="s">
        <v>130</v>
      </c>
      <c r="AE96" s="60">
        <v>4377.3999999999996</v>
      </c>
      <c r="AF96" s="60">
        <v>0</v>
      </c>
      <c r="AG96" s="60">
        <v>414.33</v>
      </c>
      <c r="AH96" s="60">
        <v>0</v>
      </c>
      <c r="AI96" s="13">
        <f t="shared" si="29"/>
        <v>0</v>
      </c>
      <c r="AJ96" s="13">
        <f t="shared" si="30"/>
        <v>2.0000000000095497E-3</v>
      </c>
      <c r="AK96" t="s">
        <v>130</v>
      </c>
      <c r="AL96" s="70">
        <v>4377.3999999999996</v>
      </c>
      <c r="AM96">
        <v>350.19</v>
      </c>
    </row>
    <row r="97" spans="1:39" ht="15" customHeight="1">
      <c r="A97" s="2" t="s">
        <v>131</v>
      </c>
      <c r="B97" s="2" t="s">
        <v>65</v>
      </c>
      <c r="C97" s="2" t="s">
        <v>33</v>
      </c>
      <c r="D97" s="2" t="s">
        <v>29</v>
      </c>
      <c r="E97" s="5">
        <v>2244.8000000000002</v>
      </c>
      <c r="F97" s="126">
        <v>0</v>
      </c>
      <c r="G97" s="126"/>
      <c r="H97" s="10">
        <v>0</v>
      </c>
      <c r="I97" s="3">
        <v>0</v>
      </c>
      <c r="J97" s="3">
        <v>179.584</v>
      </c>
      <c r="K97" s="3">
        <v>0</v>
      </c>
      <c r="L97" s="3">
        <v>0</v>
      </c>
      <c r="M97" s="3">
        <v>0</v>
      </c>
      <c r="N97" s="3">
        <v>2244.8000000000002</v>
      </c>
      <c r="O97" s="3">
        <v>0</v>
      </c>
      <c r="P97" s="3">
        <v>177.71</v>
      </c>
      <c r="Q97" s="3">
        <v>0</v>
      </c>
      <c r="R97" s="3">
        <v>0</v>
      </c>
      <c r="S97" s="3">
        <v>448.96</v>
      </c>
      <c r="T97" s="3">
        <v>67.343999999999994</v>
      </c>
      <c r="U97" s="3">
        <v>130.19839999999999</v>
      </c>
      <c r="V97" s="3">
        <v>824.2124</v>
      </c>
      <c r="W97" s="3">
        <v>2244.8000000000002</v>
      </c>
      <c r="X97" s="3">
        <v>0</v>
      </c>
      <c r="Y97" s="3">
        <v>0</v>
      </c>
      <c r="Z97" s="3">
        <v>0</v>
      </c>
      <c r="AA97" s="3">
        <v>0</v>
      </c>
      <c r="AB97" s="13">
        <f t="shared" si="21"/>
        <v>0</v>
      </c>
      <c r="AC97" s="13">
        <f t="shared" si="22"/>
        <v>0</v>
      </c>
      <c r="AD97" s="65" t="s">
        <v>131</v>
      </c>
      <c r="AE97" s="66">
        <v>2244.8000000000002</v>
      </c>
      <c r="AF97" s="66">
        <v>0</v>
      </c>
      <c r="AG97" s="66">
        <v>177.71</v>
      </c>
      <c r="AH97" s="66">
        <v>0</v>
      </c>
      <c r="AI97" s="13">
        <f t="shared" si="29"/>
        <v>0</v>
      </c>
      <c r="AJ97" s="13">
        <f t="shared" si="30"/>
        <v>3.9999999999906777E-3</v>
      </c>
      <c r="AK97" t="s">
        <v>131</v>
      </c>
      <c r="AL97" s="70">
        <v>2244.8000000000002</v>
      </c>
      <c r="AM97">
        <v>179.58</v>
      </c>
    </row>
    <row r="98" spans="1:39" ht="15" customHeight="1">
      <c r="A98" s="2" t="s">
        <v>132</v>
      </c>
      <c r="B98" s="2" t="s">
        <v>42</v>
      </c>
      <c r="C98" s="2" t="s">
        <v>33</v>
      </c>
      <c r="D98" s="2" t="s">
        <v>29</v>
      </c>
      <c r="E98" s="5">
        <v>2493.4499999999998</v>
      </c>
      <c r="F98" s="126">
        <v>0</v>
      </c>
      <c r="G98" s="126"/>
      <c r="H98" s="10">
        <v>0</v>
      </c>
      <c r="I98" s="3">
        <v>0</v>
      </c>
      <c r="J98" s="3">
        <v>199.476</v>
      </c>
      <c r="K98" s="3">
        <v>0</v>
      </c>
      <c r="L98" s="3">
        <v>0</v>
      </c>
      <c r="M98" s="3">
        <v>0</v>
      </c>
      <c r="N98" s="3">
        <v>2493.4499999999998</v>
      </c>
      <c r="O98" s="3">
        <v>0</v>
      </c>
      <c r="P98" s="3">
        <v>200.09</v>
      </c>
      <c r="Q98" s="3">
        <v>0</v>
      </c>
      <c r="R98" s="3">
        <v>0</v>
      </c>
      <c r="S98" s="3">
        <v>498.69</v>
      </c>
      <c r="T98" s="3">
        <v>74.8035</v>
      </c>
      <c r="U98" s="3">
        <v>144.62010000000001</v>
      </c>
      <c r="V98" s="3">
        <v>918.20360000000005</v>
      </c>
      <c r="W98" s="3">
        <v>2493.4499999999998</v>
      </c>
      <c r="X98" s="3">
        <v>0</v>
      </c>
      <c r="Y98" s="3">
        <v>0</v>
      </c>
      <c r="Z98" s="3">
        <v>0</v>
      </c>
      <c r="AA98" s="3">
        <v>0</v>
      </c>
      <c r="AB98" s="13">
        <f t="shared" si="21"/>
        <v>0</v>
      </c>
      <c r="AC98" s="13">
        <f t="shared" si="22"/>
        <v>0</v>
      </c>
      <c r="AD98" s="59" t="s">
        <v>132</v>
      </c>
      <c r="AE98" s="60">
        <v>2493.4499999999998</v>
      </c>
      <c r="AF98" s="60">
        <v>0</v>
      </c>
      <c r="AG98" s="60">
        <v>200.09</v>
      </c>
      <c r="AH98" s="60">
        <v>0</v>
      </c>
      <c r="AI98" s="13">
        <f t="shared" si="29"/>
        <v>0</v>
      </c>
      <c r="AJ98" s="13">
        <f t="shared" si="30"/>
        <v>6.0000000000002274E-3</v>
      </c>
      <c r="AK98" t="s">
        <v>132</v>
      </c>
      <c r="AL98" s="70">
        <v>2493.4499999999998</v>
      </c>
      <c r="AM98">
        <v>199.47</v>
      </c>
    </row>
    <row r="99" spans="1:39" ht="15" customHeight="1">
      <c r="A99" s="2" t="s">
        <v>133</v>
      </c>
      <c r="B99" s="2" t="s">
        <v>123</v>
      </c>
      <c r="C99" s="2" t="s">
        <v>33</v>
      </c>
      <c r="D99" s="2" t="s">
        <v>29</v>
      </c>
      <c r="E99" s="5">
        <v>3580.93</v>
      </c>
      <c r="F99" s="126">
        <v>0</v>
      </c>
      <c r="G99" s="126"/>
      <c r="H99" s="10">
        <v>0</v>
      </c>
      <c r="I99" s="3">
        <v>0</v>
      </c>
      <c r="J99" s="3">
        <v>286.4744</v>
      </c>
      <c r="K99" s="3">
        <v>0</v>
      </c>
      <c r="L99" s="3">
        <v>0</v>
      </c>
      <c r="M99" s="3">
        <v>0</v>
      </c>
      <c r="N99" s="3">
        <v>3580.93</v>
      </c>
      <c r="O99" s="3">
        <v>0</v>
      </c>
      <c r="P99" s="3">
        <v>318.3</v>
      </c>
      <c r="Q99" s="3">
        <v>0</v>
      </c>
      <c r="R99" s="3">
        <v>0</v>
      </c>
      <c r="S99" s="3">
        <v>716.18600000000004</v>
      </c>
      <c r="T99" s="3">
        <v>107.42789999999999</v>
      </c>
      <c r="U99" s="3">
        <v>207.69394</v>
      </c>
      <c r="V99" s="3">
        <v>1349.6078399999999</v>
      </c>
      <c r="W99" s="3">
        <v>3580.93</v>
      </c>
      <c r="X99" s="3">
        <v>0</v>
      </c>
      <c r="Y99" s="3">
        <v>0</v>
      </c>
      <c r="Z99" s="3">
        <v>0</v>
      </c>
      <c r="AA99" s="3">
        <v>0</v>
      </c>
      <c r="AB99" s="13">
        <f t="shared" si="21"/>
        <v>0</v>
      </c>
      <c r="AC99" s="13">
        <f t="shared" si="22"/>
        <v>0</v>
      </c>
      <c r="AD99" s="65" t="s">
        <v>133</v>
      </c>
      <c r="AE99" s="66">
        <v>3580.93</v>
      </c>
      <c r="AF99" s="66">
        <v>0</v>
      </c>
      <c r="AG99" s="66">
        <v>318.3</v>
      </c>
      <c r="AH99" s="66">
        <v>0</v>
      </c>
      <c r="AI99" s="13">
        <f t="shared" si="29"/>
        <v>0</v>
      </c>
      <c r="AJ99" s="13">
        <f t="shared" si="30"/>
        <v>4.3999999999755346E-3</v>
      </c>
      <c r="AK99" t="s">
        <v>133</v>
      </c>
      <c r="AL99" s="70">
        <v>3580.93</v>
      </c>
      <c r="AM99">
        <v>286.47000000000003</v>
      </c>
    </row>
    <row r="100" spans="1:39" ht="15" customHeight="1">
      <c r="A100" s="2" t="s">
        <v>134</v>
      </c>
      <c r="B100" s="2" t="s">
        <v>50</v>
      </c>
      <c r="C100" s="2" t="s">
        <v>33</v>
      </c>
      <c r="D100" s="2" t="s">
        <v>29</v>
      </c>
      <c r="E100" s="5">
        <v>6869.69</v>
      </c>
      <c r="F100" s="126">
        <v>0</v>
      </c>
      <c r="G100" s="126"/>
      <c r="H100" s="10">
        <v>0</v>
      </c>
      <c r="I100" s="3">
        <v>0</v>
      </c>
      <c r="J100" s="3">
        <v>549.5752</v>
      </c>
      <c r="K100" s="3">
        <v>0</v>
      </c>
      <c r="L100" s="3">
        <v>0</v>
      </c>
      <c r="M100" s="3">
        <v>0</v>
      </c>
      <c r="N100" s="3">
        <v>6869.69</v>
      </c>
      <c r="O100" s="3">
        <v>0</v>
      </c>
      <c r="P100" s="3">
        <v>763.25</v>
      </c>
      <c r="Q100" s="3">
        <v>0</v>
      </c>
      <c r="R100" s="3">
        <v>0</v>
      </c>
      <c r="S100" s="3">
        <v>1373.9380000000001</v>
      </c>
      <c r="T100" s="3">
        <v>206.0907</v>
      </c>
      <c r="U100" s="3">
        <v>398.44202000000001</v>
      </c>
      <c r="V100" s="3">
        <v>2741.7207199999998</v>
      </c>
      <c r="W100" s="3">
        <v>6869.69</v>
      </c>
      <c r="X100" s="3">
        <v>0</v>
      </c>
      <c r="Y100" s="3">
        <v>706.58</v>
      </c>
      <c r="Z100" s="3">
        <v>0</v>
      </c>
      <c r="AA100" s="3">
        <v>0</v>
      </c>
      <c r="AB100" s="13">
        <f t="shared" si="21"/>
        <v>0</v>
      </c>
      <c r="AC100" s="13">
        <f t="shared" si="22"/>
        <v>0</v>
      </c>
      <c r="AD100" s="59" t="s">
        <v>134</v>
      </c>
      <c r="AE100" s="60">
        <v>6869.69</v>
      </c>
      <c r="AF100" s="60">
        <v>0</v>
      </c>
      <c r="AG100" s="60">
        <v>763.25</v>
      </c>
      <c r="AH100" s="60">
        <v>0</v>
      </c>
      <c r="AI100" s="13">
        <f t="shared" si="29"/>
        <v>0</v>
      </c>
      <c r="AJ100" s="13">
        <f t="shared" si="30"/>
        <v>5.1999999999452484E-3</v>
      </c>
      <c r="AK100" t="s">
        <v>134</v>
      </c>
      <c r="AL100" s="70">
        <v>6869.69</v>
      </c>
      <c r="AM100">
        <v>549.57000000000005</v>
      </c>
    </row>
    <row r="101" spans="1:39" ht="15" customHeight="1">
      <c r="A101" s="2" t="s">
        <v>135</v>
      </c>
      <c r="B101" s="2" t="s">
        <v>40</v>
      </c>
      <c r="C101" s="2" t="s">
        <v>33</v>
      </c>
      <c r="D101" s="2" t="s">
        <v>29</v>
      </c>
      <c r="E101" s="5">
        <v>1969.89</v>
      </c>
      <c r="F101" s="126">
        <v>0</v>
      </c>
      <c r="G101" s="126"/>
      <c r="H101" s="10">
        <v>0</v>
      </c>
      <c r="I101" s="3">
        <v>0</v>
      </c>
      <c r="J101" s="3">
        <v>157.59119999999999</v>
      </c>
      <c r="K101" s="3">
        <v>0</v>
      </c>
      <c r="L101" s="3">
        <v>0</v>
      </c>
      <c r="M101" s="3">
        <v>0</v>
      </c>
      <c r="N101" s="3">
        <v>1969.89</v>
      </c>
      <c r="O101" s="3">
        <v>0</v>
      </c>
      <c r="P101" s="3">
        <v>152.97</v>
      </c>
      <c r="Q101" s="3">
        <v>0</v>
      </c>
      <c r="R101" s="3">
        <v>0</v>
      </c>
      <c r="S101" s="3">
        <v>393.97800000000001</v>
      </c>
      <c r="T101" s="3">
        <v>59.096699999999998</v>
      </c>
      <c r="U101" s="3">
        <v>114.25362</v>
      </c>
      <c r="V101" s="3">
        <v>720.29831999999999</v>
      </c>
      <c r="W101" s="3">
        <v>1969.89</v>
      </c>
      <c r="X101" s="3">
        <v>0</v>
      </c>
      <c r="Y101" s="3">
        <v>0</v>
      </c>
      <c r="Z101" s="3">
        <v>0</v>
      </c>
      <c r="AA101" s="3">
        <v>0</v>
      </c>
      <c r="AB101" s="13">
        <f t="shared" si="21"/>
        <v>0</v>
      </c>
      <c r="AC101" s="13">
        <f t="shared" si="22"/>
        <v>0</v>
      </c>
      <c r="AD101" s="61" t="s">
        <v>135</v>
      </c>
      <c r="AE101" s="62">
        <v>1969.89</v>
      </c>
      <c r="AF101" s="62">
        <v>0</v>
      </c>
      <c r="AG101" s="62">
        <v>152.97</v>
      </c>
      <c r="AH101" s="62">
        <v>0</v>
      </c>
      <c r="AI101" s="13">
        <f t="shared" si="29"/>
        <v>0</v>
      </c>
      <c r="AJ101" s="13">
        <f t="shared" si="30"/>
        <v>1.1999999999829924E-3</v>
      </c>
      <c r="AK101" t="s">
        <v>135</v>
      </c>
      <c r="AL101" s="70">
        <v>1969.89</v>
      </c>
      <c r="AM101">
        <v>157.59</v>
      </c>
    </row>
    <row r="102" spans="1:39" ht="15" customHeight="1">
      <c r="A102" s="2" t="s">
        <v>136</v>
      </c>
      <c r="B102" s="2" t="s">
        <v>65</v>
      </c>
      <c r="C102" s="2" t="s">
        <v>33</v>
      </c>
      <c r="D102" s="2" t="s">
        <v>29</v>
      </c>
      <c r="E102" s="5">
        <v>3842.26</v>
      </c>
      <c r="F102" s="126">
        <v>0</v>
      </c>
      <c r="G102" s="126"/>
      <c r="H102" s="10">
        <v>0</v>
      </c>
      <c r="I102" s="3">
        <v>0</v>
      </c>
      <c r="J102" s="3">
        <v>307.38080000000002</v>
      </c>
      <c r="K102" s="3">
        <v>0</v>
      </c>
      <c r="L102" s="3">
        <v>0</v>
      </c>
      <c r="M102" s="3">
        <v>0</v>
      </c>
      <c r="N102" s="3">
        <v>3842.26</v>
      </c>
      <c r="O102" s="3">
        <v>0</v>
      </c>
      <c r="P102" s="3">
        <v>349.66</v>
      </c>
      <c r="Q102" s="3">
        <v>0</v>
      </c>
      <c r="R102" s="3">
        <v>0</v>
      </c>
      <c r="S102" s="3">
        <v>768.452</v>
      </c>
      <c r="T102" s="3">
        <v>115.26779999999999</v>
      </c>
      <c r="U102" s="3">
        <v>222.85108</v>
      </c>
      <c r="V102" s="3">
        <v>1456.2308800000001</v>
      </c>
      <c r="W102" s="3">
        <v>3842.26</v>
      </c>
      <c r="X102" s="3">
        <v>0</v>
      </c>
      <c r="Y102" s="3">
        <v>0</v>
      </c>
      <c r="Z102" s="3">
        <v>0</v>
      </c>
      <c r="AA102" s="3">
        <v>0</v>
      </c>
      <c r="AB102" s="13">
        <f t="shared" si="21"/>
        <v>0</v>
      </c>
      <c r="AC102" s="13">
        <f t="shared" si="22"/>
        <v>0</v>
      </c>
      <c r="AD102" s="63" t="s">
        <v>136</v>
      </c>
      <c r="AE102" s="64">
        <v>3842.26</v>
      </c>
      <c r="AF102" s="64">
        <v>0</v>
      </c>
      <c r="AG102" s="64">
        <v>349.66</v>
      </c>
      <c r="AH102" s="64">
        <v>0</v>
      </c>
      <c r="AI102" s="13">
        <f t="shared" si="29"/>
        <v>0</v>
      </c>
      <c r="AJ102" s="13">
        <f t="shared" si="30"/>
        <v>8.0000000002655725E-4</v>
      </c>
      <c r="AK102" t="s">
        <v>136</v>
      </c>
      <c r="AL102" s="70">
        <v>3842.26</v>
      </c>
      <c r="AM102">
        <v>307.38</v>
      </c>
    </row>
    <row r="103" spans="1:39" ht="15" customHeight="1">
      <c r="A103" s="2" t="s">
        <v>137</v>
      </c>
      <c r="B103" s="2" t="s">
        <v>71</v>
      </c>
      <c r="C103" s="2" t="s">
        <v>33</v>
      </c>
      <c r="D103" s="2" t="s">
        <v>29</v>
      </c>
      <c r="E103" s="5">
        <v>3399.66</v>
      </c>
      <c r="F103" s="126">
        <v>0</v>
      </c>
      <c r="G103" s="126"/>
      <c r="H103" s="10">
        <v>0</v>
      </c>
      <c r="I103" s="3">
        <v>0</v>
      </c>
      <c r="J103" s="3">
        <v>271.97280000000001</v>
      </c>
      <c r="K103" s="3">
        <v>0</v>
      </c>
      <c r="L103" s="3">
        <v>0</v>
      </c>
      <c r="M103" s="3">
        <v>0</v>
      </c>
      <c r="N103" s="3">
        <v>3399.66</v>
      </c>
      <c r="O103" s="3">
        <v>0</v>
      </c>
      <c r="P103" s="3">
        <v>296.54000000000002</v>
      </c>
      <c r="Q103" s="3">
        <v>0</v>
      </c>
      <c r="R103" s="3">
        <v>0</v>
      </c>
      <c r="S103" s="3">
        <v>679.93200000000002</v>
      </c>
      <c r="T103" s="3">
        <v>101.9898</v>
      </c>
      <c r="U103" s="3">
        <v>197.18028000000001</v>
      </c>
      <c r="V103" s="3">
        <v>1275.6420800000001</v>
      </c>
      <c r="W103" s="3">
        <v>3399.66</v>
      </c>
      <c r="X103" s="3">
        <v>0</v>
      </c>
      <c r="Y103" s="3">
        <v>0</v>
      </c>
      <c r="Z103" s="3">
        <v>0</v>
      </c>
      <c r="AA103" s="3">
        <v>0</v>
      </c>
      <c r="AB103" s="13">
        <f t="shared" si="21"/>
        <v>0</v>
      </c>
      <c r="AC103" s="13">
        <f t="shared" si="22"/>
        <v>0</v>
      </c>
      <c r="AD103" s="65" t="s">
        <v>137</v>
      </c>
      <c r="AE103" s="66">
        <v>3399.66</v>
      </c>
      <c r="AF103" s="66">
        <v>0</v>
      </c>
      <c r="AG103" s="66">
        <v>296.54000000000002</v>
      </c>
      <c r="AH103" s="66">
        <v>0</v>
      </c>
      <c r="AI103" s="13">
        <f t="shared" si="29"/>
        <v>0</v>
      </c>
      <c r="AJ103" s="13">
        <f t="shared" si="30"/>
        <v>2.7999999999792635E-3</v>
      </c>
      <c r="AK103" t="s">
        <v>137</v>
      </c>
      <c r="AL103" s="70">
        <v>3399.66</v>
      </c>
      <c r="AM103">
        <v>271.97000000000003</v>
      </c>
    </row>
    <row r="104" spans="1:39" ht="15" customHeight="1">
      <c r="A104" s="2" t="s">
        <v>138</v>
      </c>
      <c r="B104" s="2" t="s">
        <v>42</v>
      </c>
      <c r="C104" s="2" t="s">
        <v>33</v>
      </c>
      <c r="D104" s="2" t="s">
        <v>29</v>
      </c>
      <c r="E104" s="5">
        <v>2641.43</v>
      </c>
      <c r="F104" s="126">
        <v>0</v>
      </c>
      <c r="G104" s="126"/>
      <c r="H104" s="10">
        <v>0</v>
      </c>
      <c r="I104" s="3">
        <v>0</v>
      </c>
      <c r="J104" s="3">
        <v>211.31440000000001</v>
      </c>
      <c r="K104" s="3">
        <v>0</v>
      </c>
      <c r="L104" s="3">
        <v>0</v>
      </c>
      <c r="M104" s="3">
        <v>0</v>
      </c>
      <c r="N104" s="3">
        <v>2641.43</v>
      </c>
      <c r="O104" s="3">
        <v>0</v>
      </c>
      <c r="P104" s="3">
        <v>213.4</v>
      </c>
      <c r="Q104" s="3">
        <v>0</v>
      </c>
      <c r="R104" s="3">
        <v>0</v>
      </c>
      <c r="S104" s="3">
        <v>528.28599999999994</v>
      </c>
      <c r="T104" s="3">
        <v>79.242900000000006</v>
      </c>
      <c r="U104" s="3">
        <v>153.20294000000001</v>
      </c>
      <c r="V104" s="3">
        <v>974.13184000000001</v>
      </c>
      <c r="W104" s="3">
        <v>2641.43</v>
      </c>
      <c r="X104" s="3">
        <v>0</v>
      </c>
      <c r="Y104" s="3">
        <v>0</v>
      </c>
      <c r="Z104" s="3">
        <v>0</v>
      </c>
      <c r="AA104" s="3">
        <v>0</v>
      </c>
      <c r="AB104" s="13">
        <f t="shared" si="21"/>
        <v>0</v>
      </c>
      <c r="AC104" s="13">
        <f t="shared" si="22"/>
        <v>0</v>
      </c>
      <c r="AD104" s="59" t="s">
        <v>138</v>
      </c>
      <c r="AE104" s="60">
        <v>2641.43</v>
      </c>
      <c r="AF104" s="60">
        <v>0</v>
      </c>
      <c r="AG104" s="60">
        <v>213.4</v>
      </c>
      <c r="AH104" s="60">
        <v>0</v>
      </c>
      <c r="AI104" s="13">
        <f t="shared" si="29"/>
        <v>0</v>
      </c>
      <c r="AJ104" s="13">
        <f t="shared" si="30"/>
        <v>4.4000000000039563E-3</v>
      </c>
      <c r="AK104" t="s">
        <v>138</v>
      </c>
      <c r="AL104" s="70">
        <v>2641.43</v>
      </c>
      <c r="AM104">
        <v>211.31</v>
      </c>
    </row>
    <row r="105" spans="1:39" ht="15" customHeight="1">
      <c r="A105" s="71" t="s">
        <v>139</v>
      </c>
      <c r="B105" s="71" t="s">
        <v>71</v>
      </c>
      <c r="C105" s="71" t="s">
        <v>28</v>
      </c>
      <c r="D105" s="71" t="s">
        <v>29</v>
      </c>
      <c r="E105" s="72">
        <v>459.07</v>
      </c>
      <c r="F105" s="127">
        <v>0</v>
      </c>
      <c r="G105" s="127"/>
      <c r="H105" s="74">
        <v>0</v>
      </c>
      <c r="I105" s="73">
        <v>383.33</v>
      </c>
      <c r="J105" s="73">
        <v>36.7256</v>
      </c>
      <c r="K105" s="73">
        <v>0</v>
      </c>
      <c r="L105" s="73">
        <v>0</v>
      </c>
      <c r="M105" s="73">
        <v>30.666399999999999</v>
      </c>
      <c r="N105" s="73">
        <v>459.07</v>
      </c>
      <c r="O105" s="73">
        <v>383.33</v>
      </c>
      <c r="P105" s="73">
        <v>34.43</v>
      </c>
      <c r="Q105" s="73">
        <v>28.74</v>
      </c>
      <c r="R105" s="73">
        <v>0</v>
      </c>
      <c r="S105" s="3">
        <v>168.48</v>
      </c>
      <c r="T105" s="3">
        <v>25.271999999999998</v>
      </c>
      <c r="U105" s="3">
        <v>48.859200000000001</v>
      </c>
      <c r="V105" s="3">
        <v>305.78120000000001</v>
      </c>
      <c r="W105" s="3">
        <v>459.07</v>
      </c>
      <c r="X105" s="3">
        <v>0</v>
      </c>
      <c r="Y105" s="3">
        <v>0</v>
      </c>
      <c r="Z105" s="3">
        <v>0</v>
      </c>
      <c r="AA105" s="3">
        <v>0</v>
      </c>
      <c r="AB105" s="13">
        <f t="shared" si="21"/>
        <v>0</v>
      </c>
      <c r="AC105" s="13">
        <f t="shared" si="22"/>
        <v>0</v>
      </c>
      <c r="AD105" s="65" t="s">
        <v>139</v>
      </c>
      <c r="AE105" s="66">
        <v>459.07</v>
      </c>
      <c r="AF105" s="66">
        <v>383.33</v>
      </c>
      <c r="AG105" s="66">
        <v>34.43</v>
      </c>
      <c r="AH105" s="66">
        <v>28.74</v>
      </c>
      <c r="AI105" s="13">
        <f t="shared" si="29"/>
        <v>0</v>
      </c>
      <c r="AJ105" s="13">
        <f t="shared" si="30"/>
        <v>1.2000000000000455E-2</v>
      </c>
      <c r="AK105" t="s">
        <v>139</v>
      </c>
      <c r="AL105">
        <v>842.4</v>
      </c>
      <c r="AM105">
        <v>67.38</v>
      </c>
    </row>
    <row r="106" spans="1:39" ht="15" customHeight="1">
      <c r="A106" s="2" t="s">
        <v>140</v>
      </c>
      <c r="B106" s="2" t="s">
        <v>71</v>
      </c>
      <c r="C106" s="2" t="s">
        <v>33</v>
      </c>
      <c r="D106" s="2" t="s">
        <v>29</v>
      </c>
      <c r="E106" s="5">
        <v>3395.23</v>
      </c>
      <c r="F106" s="126">
        <v>0</v>
      </c>
      <c r="G106" s="126"/>
      <c r="H106" s="10">
        <v>0</v>
      </c>
      <c r="I106" s="3">
        <v>0</v>
      </c>
      <c r="J106" s="3">
        <v>271.61840000000001</v>
      </c>
      <c r="K106" s="3">
        <v>0</v>
      </c>
      <c r="L106" s="3">
        <v>0</v>
      </c>
      <c r="M106" s="3">
        <v>0</v>
      </c>
      <c r="N106" s="3">
        <v>3395.23</v>
      </c>
      <c r="O106" s="3">
        <v>0</v>
      </c>
      <c r="P106" s="3">
        <v>296.01</v>
      </c>
      <c r="Q106" s="3">
        <v>0</v>
      </c>
      <c r="R106" s="3">
        <v>0</v>
      </c>
      <c r="S106" s="3">
        <v>679.04600000000005</v>
      </c>
      <c r="T106" s="3">
        <v>101.8569</v>
      </c>
      <c r="U106" s="3">
        <v>196.92334</v>
      </c>
      <c r="V106" s="3">
        <v>1273.8362400000001</v>
      </c>
      <c r="W106" s="3">
        <v>3395.23</v>
      </c>
      <c r="X106" s="3">
        <v>0</v>
      </c>
      <c r="Y106" s="3">
        <v>0</v>
      </c>
      <c r="Z106" s="3">
        <v>0</v>
      </c>
      <c r="AA106" s="3">
        <v>0</v>
      </c>
      <c r="AB106" s="13">
        <f t="shared" si="21"/>
        <v>0</v>
      </c>
      <c r="AC106" s="13">
        <f t="shared" si="22"/>
        <v>0</v>
      </c>
      <c r="AD106" s="63" t="s">
        <v>140</v>
      </c>
      <c r="AE106" s="64">
        <v>3395.23</v>
      </c>
      <c r="AF106" s="64">
        <v>0</v>
      </c>
      <c r="AG106" s="64">
        <v>296.01</v>
      </c>
      <c r="AH106" s="64">
        <v>0</v>
      </c>
      <c r="AI106" s="13">
        <f t="shared" si="29"/>
        <v>0</v>
      </c>
      <c r="AJ106" s="13">
        <f t="shared" si="30"/>
        <v>8.399999999994634E-3</v>
      </c>
      <c r="AK106" t="s">
        <v>140</v>
      </c>
      <c r="AL106" s="70">
        <v>3395.23</v>
      </c>
      <c r="AM106">
        <v>271.61</v>
      </c>
    </row>
    <row r="107" spans="1:39" ht="15" customHeight="1">
      <c r="A107" s="2" t="s">
        <v>141</v>
      </c>
      <c r="B107" s="2" t="s">
        <v>35</v>
      </c>
      <c r="C107" s="2" t="s">
        <v>33</v>
      </c>
      <c r="D107" s="2" t="s">
        <v>29</v>
      </c>
      <c r="E107" s="5">
        <v>2500</v>
      </c>
      <c r="F107" s="126">
        <v>0</v>
      </c>
      <c r="G107" s="126"/>
      <c r="H107" s="10">
        <v>0</v>
      </c>
      <c r="I107" s="3">
        <v>0</v>
      </c>
      <c r="J107" s="3">
        <v>200</v>
      </c>
      <c r="K107" s="3">
        <v>0</v>
      </c>
      <c r="L107" s="3">
        <v>0</v>
      </c>
      <c r="M107" s="3">
        <v>0</v>
      </c>
      <c r="N107" s="3">
        <v>2500</v>
      </c>
      <c r="O107" s="3">
        <v>0</v>
      </c>
      <c r="P107" s="3">
        <v>200.68</v>
      </c>
      <c r="Q107" s="3">
        <v>0</v>
      </c>
      <c r="R107" s="3">
        <v>0</v>
      </c>
      <c r="S107" s="3">
        <v>500</v>
      </c>
      <c r="T107" s="3">
        <v>75</v>
      </c>
      <c r="U107" s="3">
        <v>145</v>
      </c>
      <c r="V107" s="3">
        <v>920.68</v>
      </c>
      <c r="W107" s="3">
        <v>2500</v>
      </c>
      <c r="X107" s="3">
        <v>0</v>
      </c>
      <c r="Y107" s="3">
        <v>0</v>
      </c>
      <c r="Z107" s="3">
        <v>0</v>
      </c>
      <c r="AA107" s="3">
        <v>0</v>
      </c>
      <c r="AB107" s="13">
        <f t="shared" si="21"/>
        <v>0</v>
      </c>
      <c r="AC107" s="13">
        <f t="shared" si="22"/>
        <v>0</v>
      </c>
      <c r="AD107" s="65" t="s">
        <v>141</v>
      </c>
      <c r="AE107" s="66">
        <v>2500</v>
      </c>
      <c r="AF107" s="66">
        <v>0</v>
      </c>
      <c r="AG107" s="66">
        <v>200.68</v>
      </c>
      <c r="AH107" s="66">
        <v>0</v>
      </c>
      <c r="AI107" s="13">
        <f t="shared" si="29"/>
        <v>0</v>
      </c>
      <c r="AJ107" s="13">
        <f t="shared" si="30"/>
        <v>0</v>
      </c>
      <c r="AK107" t="s">
        <v>141</v>
      </c>
      <c r="AL107" s="70">
        <v>2500</v>
      </c>
      <c r="AM107">
        <v>200</v>
      </c>
    </row>
    <row r="108" spans="1:39" ht="15" customHeight="1">
      <c r="A108" s="2" t="s">
        <v>142</v>
      </c>
      <c r="B108" s="2" t="s">
        <v>55</v>
      </c>
      <c r="C108" s="2" t="s">
        <v>33</v>
      </c>
      <c r="D108" s="2" t="s">
        <v>29</v>
      </c>
      <c r="E108" s="5">
        <v>1999.61</v>
      </c>
      <c r="F108" s="126">
        <v>0</v>
      </c>
      <c r="G108" s="126"/>
      <c r="H108" s="10">
        <v>0</v>
      </c>
      <c r="I108" s="3">
        <v>0</v>
      </c>
      <c r="J108" s="3">
        <v>159.96879999999999</v>
      </c>
      <c r="K108" s="3">
        <v>0</v>
      </c>
      <c r="L108" s="3">
        <v>0</v>
      </c>
      <c r="M108" s="3">
        <v>0</v>
      </c>
      <c r="N108" s="3">
        <v>1999.61</v>
      </c>
      <c r="O108" s="3">
        <v>0</v>
      </c>
      <c r="P108" s="3">
        <v>155.63999999999999</v>
      </c>
      <c r="Q108" s="3">
        <v>0</v>
      </c>
      <c r="R108" s="3">
        <v>0</v>
      </c>
      <c r="S108" s="3">
        <v>399.92200000000003</v>
      </c>
      <c r="T108" s="3">
        <v>59.988300000000002</v>
      </c>
      <c r="U108" s="3">
        <v>115.97738</v>
      </c>
      <c r="V108" s="3">
        <v>731.52768000000003</v>
      </c>
      <c r="W108" s="3">
        <v>1999.61</v>
      </c>
      <c r="X108" s="3">
        <v>0</v>
      </c>
      <c r="Y108" s="3">
        <v>0</v>
      </c>
      <c r="Z108" s="3">
        <v>0</v>
      </c>
      <c r="AA108" s="3">
        <v>0</v>
      </c>
      <c r="AB108" s="13">
        <f t="shared" si="21"/>
        <v>0</v>
      </c>
      <c r="AC108" s="13">
        <f t="shared" si="22"/>
        <v>0</v>
      </c>
      <c r="AD108" s="59" t="s">
        <v>142</v>
      </c>
      <c r="AE108" s="60">
        <v>1999.61</v>
      </c>
      <c r="AF108" s="60">
        <v>0</v>
      </c>
      <c r="AG108" s="60">
        <v>155.63999999999999</v>
      </c>
      <c r="AH108" s="60">
        <v>0</v>
      </c>
      <c r="AI108" s="13">
        <f t="shared" si="29"/>
        <v>0</v>
      </c>
      <c r="AJ108" s="13">
        <f t="shared" si="30"/>
        <v>8.7999999999794909E-3</v>
      </c>
      <c r="AK108" t="s">
        <v>142</v>
      </c>
      <c r="AL108" s="70">
        <v>1999.61</v>
      </c>
      <c r="AM108">
        <v>159.96</v>
      </c>
    </row>
    <row r="109" spans="1:39" ht="15" customHeight="1">
      <c r="A109" s="2" t="s">
        <v>143</v>
      </c>
      <c r="B109" s="2" t="s">
        <v>55</v>
      </c>
      <c r="C109" s="2" t="s">
        <v>33</v>
      </c>
      <c r="D109" s="2" t="s">
        <v>29</v>
      </c>
      <c r="E109" s="5">
        <v>1067.1600000000001</v>
      </c>
      <c r="F109" s="126">
        <v>0</v>
      </c>
      <c r="G109" s="126"/>
      <c r="H109" s="10">
        <v>0</v>
      </c>
      <c r="I109" s="3">
        <v>0</v>
      </c>
      <c r="J109" s="3">
        <v>85.372799999999998</v>
      </c>
      <c r="K109" s="3">
        <v>0</v>
      </c>
      <c r="L109" s="3">
        <v>0</v>
      </c>
      <c r="M109" s="3">
        <v>0</v>
      </c>
      <c r="N109" s="3">
        <v>1067.1600000000001</v>
      </c>
      <c r="O109" s="3">
        <v>0</v>
      </c>
      <c r="P109" s="3">
        <v>80.03</v>
      </c>
      <c r="Q109" s="3">
        <v>0</v>
      </c>
      <c r="R109" s="3">
        <v>0</v>
      </c>
      <c r="S109" s="3">
        <v>213.43199999999999</v>
      </c>
      <c r="T109" s="3">
        <v>32.014800000000001</v>
      </c>
      <c r="U109" s="3">
        <v>61.89528</v>
      </c>
      <c r="V109" s="3">
        <v>387.37207999999998</v>
      </c>
      <c r="W109" s="3">
        <v>1067.1600000000001</v>
      </c>
      <c r="X109" s="3">
        <v>0</v>
      </c>
      <c r="Y109" s="3">
        <v>0</v>
      </c>
      <c r="Z109" s="3">
        <v>0</v>
      </c>
      <c r="AA109" s="3">
        <v>0</v>
      </c>
      <c r="AB109" s="13">
        <f t="shared" si="21"/>
        <v>0</v>
      </c>
      <c r="AC109" s="13">
        <f t="shared" si="22"/>
        <v>0</v>
      </c>
      <c r="AD109" s="61" t="s">
        <v>143</v>
      </c>
      <c r="AE109" s="62">
        <v>1067.1600000000001</v>
      </c>
      <c r="AF109" s="62">
        <v>0</v>
      </c>
      <c r="AG109" s="62">
        <v>80.03</v>
      </c>
      <c r="AH109" s="62">
        <v>0</v>
      </c>
      <c r="AI109" s="13">
        <f t="shared" si="29"/>
        <v>0</v>
      </c>
      <c r="AJ109" s="13">
        <f t="shared" si="30"/>
        <v>2.7999999999934744E-3</v>
      </c>
      <c r="AK109" t="s">
        <v>143</v>
      </c>
      <c r="AL109" s="70">
        <v>1067.1600000000001</v>
      </c>
      <c r="AM109">
        <v>85.37</v>
      </c>
    </row>
    <row r="110" spans="1:39" ht="15" customHeight="1">
      <c r="A110" s="2" t="s">
        <v>144</v>
      </c>
      <c r="B110" s="2" t="s">
        <v>53</v>
      </c>
      <c r="C110" s="2" t="s">
        <v>33</v>
      </c>
      <c r="D110" s="2" t="s">
        <v>29</v>
      </c>
      <c r="E110" s="5">
        <v>1600</v>
      </c>
      <c r="F110" s="126">
        <v>0</v>
      </c>
      <c r="G110" s="126"/>
      <c r="H110" s="10">
        <v>0</v>
      </c>
      <c r="I110" s="3">
        <v>0</v>
      </c>
      <c r="J110" s="3">
        <v>128</v>
      </c>
      <c r="K110" s="3">
        <v>0</v>
      </c>
      <c r="L110" s="3">
        <v>0</v>
      </c>
      <c r="M110" s="3">
        <v>0</v>
      </c>
      <c r="N110" s="3">
        <v>1600</v>
      </c>
      <c r="O110" s="3">
        <v>0</v>
      </c>
      <c r="P110" s="3">
        <v>120</v>
      </c>
      <c r="Q110" s="3">
        <v>0</v>
      </c>
      <c r="R110" s="3">
        <v>0</v>
      </c>
      <c r="S110" s="3">
        <v>320</v>
      </c>
      <c r="T110" s="3">
        <v>48</v>
      </c>
      <c r="U110" s="3">
        <v>92.8</v>
      </c>
      <c r="V110" s="3">
        <v>580.79999999999995</v>
      </c>
      <c r="W110" s="3">
        <v>1600</v>
      </c>
      <c r="X110" s="3">
        <v>0</v>
      </c>
      <c r="Y110" s="3">
        <v>0</v>
      </c>
      <c r="Z110" s="3">
        <v>0</v>
      </c>
      <c r="AA110" s="3">
        <v>0</v>
      </c>
      <c r="AB110" s="13">
        <f t="shared" si="21"/>
        <v>0</v>
      </c>
      <c r="AC110" s="13">
        <f t="shared" si="22"/>
        <v>0</v>
      </c>
      <c r="AD110" s="63" t="s">
        <v>233</v>
      </c>
      <c r="AE110" s="64">
        <v>1600</v>
      </c>
      <c r="AF110" s="64">
        <v>0</v>
      </c>
      <c r="AG110" s="64">
        <v>120</v>
      </c>
      <c r="AH110" s="64">
        <v>0</v>
      </c>
      <c r="AI110" s="13">
        <f t="shared" si="29"/>
        <v>0</v>
      </c>
      <c r="AJ110" s="13">
        <f t="shared" si="30"/>
        <v>0</v>
      </c>
      <c r="AK110" t="s">
        <v>233</v>
      </c>
      <c r="AL110" s="70">
        <v>1600</v>
      </c>
      <c r="AM110">
        <v>128</v>
      </c>
    </row>
    <row r="111" spans="1:39" ht="15" customHeight="1">
      <c r="A111" s="2" t="s">
        <v>145</v>
      </c>
      <c r="B111" s="2" t="s">
        <v>35</v>
      </c>
      <c r="C111" s="2" t="s">
        <v>33</v>
      </c>
      <c r="D111" s="2" t="s">
        <v>29</v>
      </c>
      <c r="E111" s="5">
        <v>5431.62</v>
      </c>
      <c r="F111" s="126">
        <v>0</v>
      </c>
      <c r="G111" s="126"/>
      <c r="H111" s="10">
        <v>0</v>
      </c>
      <c r="I111" s="3">
        <v>0</v>
      </c>
      <c r="J111" s="3">
        <v>434.52960000000002</v>
      </c>
      <c r="K111" s="3">
        <v>0</v>
      </c>
      <c r="L111" s="3">
        <v>0</v>
      </c>
      <c r="M111" s="3">
        <v>0</v>
      </c>
      <c r="N111" s="3">
        <v>5431.62</v>
      </c>
      <c r="O111" s="3">
        <v>0</v>
      </c>
      <c r="P111" s="3">
        <v>561.91999999999996</v>
      </c>
      <c r="Q111" s="3">
        <v>0</v>
      </c>
      <c r="R111" s="3">
        <v>0</v>
      </c>
      <c r="S111" s="3">
        <v>1086.3240000000001</v>
      </c>
      <c r="T111" s="3">
        <v>162.9486</v>
      </c>
      <c r="U111" s="3">
        <v>315.03395999999998</v>
      </c>
      <c r="V111" s="3">
        <v>2126.2265600000001</v>
      </c>
      <c r="W111" s="3">
        <v>5431.62</v>
      </c>
      <c r="X111" s="3">
        <v>0</v>
      </c>
      <c r="Y111" s="3">
        <v>122.87</v>
      </c>
      <c r="Z111" s="3">
        <v>0</v>
      </c>
      <c r="AA111" s="3">
        <v>0</v>
      </c>
      <c r="AB111" s="13">
        <f t="shared" si="21"/>
        <v>0</v>
      </c>
      <c r="AC111" s="13">
        <f t="shared" si="22"/>
        <v>0</v>
      </c>
      <c r="AD111" s="61" t="s">
        <v>145</v>
      </c>
      <c r="AE111" s="62">
        <v>5431.62</v>
      </c>
      <c r="AF111" s="62">
        <v>0</v>
      </c>
      <c r="AG111" s="62">
        <v>561.91999999999996</v>
      </c>
      <c r="AH111" s="62">
        <v>0</v>
      </c>
      <c r="AI111" s="13">
        <f t="shared" si="29"/>
        <v>0</v>
      </c>
      <c r="AJ111" s="13">
        <f t="shared" si="30"/>
        <v>9.6000000000344698E-3</v>
      </c>
      <c r="AK111" t="s">
        <v>145</v>
      </c>
      <c r="AL111" s="70">
        <v>5431.62</v>
      </c>
      <c r="AM111">
        <v>434.52</v>
      </c>
    </row>
    <row r="112" spans="1:39" ht="15" customHeight="1">
      <c r="A112" s="2" t="s">
        <v>146</v>
      </c>
      <c r="B112" s="2" t="s">
        <v>42</v>
      </c>
      <c r="C112" s="2" t="s">
        <v>33</v>
      </c>
      <c r="D112" s="2" t="s">
        <v>29</v>
      </c>
      <c r="E112" s="5">
        <v>3586.33</v>
      </c>
      <c r="F112" s="126">
        <v>0</v>
      </c>
      <c r="G112" s="126"/>
      <c r="H112" s="10">
        <v>0</v>
      </c>
      <c r="I112" s="3">
        <v>0</v>
      </c>
      <c r="J112" s="3">
        <v>286.90640000000002</v>
      </c>
      <c r="K112" s="3">
        <v>0</v>
      </c>
      <c r="L112" s="3">
        <v>0</v>
      </c>
      <c r="M112" s="3">
        <v>0</v>
      </c>
      <c r="N112" s="3">
        <v>3586.33</v>
      </c>
      <c r="O112" s="3">
        <v>0</v>
      </c>
      <c r="P112" s="3">
        <v>158.83000000000001</v>
      </c>
      <c r="Q112" s="3">
        <v>0</v>
      </c>
      <c r="R112" s="3">
        <v>160.11000000000001</v>
      </c>
      <c r="S112" s="3">
        <v>717.26599999999996</v>
      </c>
      <c r="T112" s="3">
        <v>107.5899</v>
      </c>
      <c r="U112" s="3">
        <v>208.00713999999999</v>
      </c>
      <c r="V112" s="3">
        <v>1351.80304</v>
      </c>
      <c r="W112" s="3">
        <v>1537</v>
      </c>
      <c r="X112" s="3">
        <v>2049.33</v>
      </c>
      <c r="Y112" s="3">
        <v>0</v>
      </c>
      <c r="Z112" s="3">
        <v>0</v>
      </c>
      <c r="AA112" s="3">
        <v>0</v>
      </c>
      <c r="AB112" s="13">
        <f t="shared" si="21"/>
        <v>0</v>
      </c>
      <c r="AC112" s="13">
        <f>(P112+Q112)-(AG112+AH112)+R112</f>
        <v>0</v>
      </c>
      <c r="AD112" s="59" t="s">
        <v>146</v>
      </c>
      <c r="AE112" s="60">
        <v>3586.33</v>
      </c>
      <c r="AF112" s="60">
        <v>0</v>
      </c>
      <c r="AG112" s="60">
        <v>318.94</v>
      </c>
      <c r="AH112" s="60">
        <v>0</v>
      </c>
      <c r="AI112" s="13">
        <f t="shared" si="29"/>
        <v>0</v>
      </c>
      <c r="AJ112" s="13">
        <f t="shared" si="30"/>
        <v>6.4000000000419277E-3</v>
      </c>
      <c r="AK112" t="s">
        <v>146</v>
      </c>
      <c r="AL112" s="70">
        <v>3586.33</v>
      </c>
      <c r="AM112">
        <v>286.89999999999998</v>
      </c>
    </row>
    <row r="113" spans="1:39" s="25" customFormat="1" ht="15" customHeight="1">
      <c r="A113" s="21" t="s">
        <v>147</v>
      </c>
      <c r="B113" s="21" t="s">
        <v>53</v>
      </c>
      <c r="C113" s="21" t="s">
        <v>33</v>
      </c>
      <c r="D113" s="21" t="s">
        <v>86</v>
      </c>
      <c r="E113" s="22">
        <v>610</v>
      </c>
      <c r="F113" s="128">
        <v>0</v>
      </c>
      <c r="G113" s="128"/>
      <c r="H113" s="24">
        <v>0</v>
      </c>
      <c r="I113" s="23">
        <v>0</v>
      </c>
      <c r="J113" s="23">
        <f>E113*0.02</f>
        <v>12.200000000000001</v>
      </c>
      <c r="K113" s="23">
        <v>0</v>
      </c>
      <c r="L113" s="23">
        <v>0</v>
      </c>
      <c r="M113" s="23">
        <v>0</v>
      </c>
      <c r="N113" s="23">
        <v>610</v>
      </c>
      <c r="O113" s="23">
        <v>0</v>
      </c>
      <c r="P113" s="23">
        <v>45.75</v>
      </c>
      <c r="Q113" s="23">
        <v>0</v>
      </c>
      <c r="R113" s="23">
        <v>0</v>
      </c>
      <c r="S113" s="23">
        <v>122</v>
      </c>
      <c r="T113" s="23">
        <v>18.3</v>
      </c>
      <c r="U113" s="23">
        <v>35.380000000000003</v>
      </c>
      <c r="V113" s="23">
        <v>221.43</v>
      </c>
      <c r="W113" s="23">
        <v>610</v>
      </c>
      <c r="X113" s="23">
        <v>0</v>
      </c>
      <c r="Y113" s="23">
        <v>0</v>
      </c>
      <c r="Z113" s="23">
        <v>0</v>
      </c>
      <c r="AA113" s="23">
        <v>0</v>
      </c>
      <c r="AB113" s="13">
        <f t="shared" si="21"/>
        <v>0</v>
      </c>
      <c r="AC113" s="13">
        <f t="shared" si="22"/>
        <v>0</v>
      </c>
      <c r="AD113" s="65" t="s">
        <v>147</v>
      </c>
      <c r="AE113" s="66">
        <v>610</v>
      </c>
      <c r="AF113" s="66">
        <v>0</v>
      </c>
      <c r="AG113" s="66">
        <v>45.75</v>
      </c>
      <c r="AH113" s="66">
        <v>0</v>
      </c>
      <c r="AI113" s="13">
        <f t="shared" si="29"/>
        <v>0</v>
      </c>
      <c r="AJ113" s="13">
        <f t="shared" si="30"/>
        <v>0</v>
      </c>
      <c r="AK113" t="s">
        <v>147</v>
      </c>
      <c r="AL113">
        <v>610</v>
      </c>
      <c r="AM113">
        <v>12.2</v>
      </c>
    </row>
    <row r="114" spans="1:39" ht="15" customHeight="1">
      <c r="A114" s="2" t="s">
        <v>148</v>
      </c>
      <c r="B114" s="2" t="s">
        <v>35</v>
      </c>
      <c r="C114" s="2" t="s">
        <v>33</v>
      </c>
      <c r="D114" s="2" t="s">
        <v>29</v>
      </c>
      <c r="E114" s="5">
        <v>5635.95</v>
      </c>
      <c r="F114" s="126">
        <v>0</v>
      </c>
      <c r="G114" s="126"/>
      <c r="H114" s="10">
        <v>0</v>
      </c>
      <c r="I114" s="3">
        <v>0</v>
      </c>
      <c r="J114" s="3">
        <v>450.87599999999998</v>
      </c>
      <c r="K114" s="3">
        <v>0</v>
      </c>
      <c r="L114" s="3">
        <v>0</v>
      </c>
      <c r="M114" s="3">
        <v>0</v>
      </c>
      <c r="N114" s="3">
        <v>5635.95</v>
      </c>
      <c r="O114" s="3">
        <v>0</v>
      </c>
      <c r="P114" s="3">
        <v>590.53</v>
      </c>
      <c r="Q114" s="3">
        <v>0</v>
      </c>
      <c r="R114" s="3">
        <v>0</v>
      </c>
      <c r="S114" s="3">
        <v>1127.19</v>
      </c>
      <c r="T114" s="3">
        <v>169.07849999999999</v>
      </c>
      <c r="U114" s="3">
        <v>326.88510000000002</v>
      </c>
      <c r="V114" s="3">
        <v>2213.6835999999998</v>
      </c>
      <c r="W114" s="3">
        <v>5635.95</v>
      </c>
      <c r="X114" s="3">
        <v>0</v>
      </c>
      <c r="Y114" s="3">
        <v>245.95</v>
      </c>
      <c r="Z114" s="3">
        <v>0</v>
      </c>
      <c r="AA114" s="3">
        <v>0</v>
      </c>
      <c r="AB114" s="13">
        <f t="shared" si="21"/>
        <v>0</v>
      </c>
      <c r="AC114" s="13">
        <f t="shared" si="22"/>
        <v>0</v>
      </c>
      <c r="AD114" s="63" t="s">
        <v>148</v>
      </c>
      <c r="AE114" s="64">
        <v>5635.95</v>
      </c>
      <c r="AF114" s="64">
        <v>0</v>
      </c>
      <c r="AG114" s="64">
        <v>590.53</v>
      </c>
      <c r="AH114" s="64">
        <v>0</v>
      </c>
      <c r="AI114" s="13">
        <f t="shared" si="29"/>
        <v>0</v>
      </c>
      <c r="AJ114" s="13">
        <f t="shared" si="30"/>
        <v>5.9999999999718057E-3</v>
      </c>
      <c r="AK114" t="s">
        <v>148</v>
      </c>
      <c r="AL114" s="70">
        <v>5635.95</v>
      </c>
      <c r="AM114">
        <v>450.87</v>
      </c>
    </row>
    <row r="115" spans="1:39" ht="15" customHeight="1">
      <c r="A115" s="2" t="s">
        <v>149</v>
      </c>
      <c r="B115" s="2" t="s">
        <v>48</v>
      </c>
      <c r="C115" s="2" t="s">
        <v>33</v>
      </c>
      <c r="D115" s="2" t="s">
        <v>29</v>
      </c>
      <c r="E115" s="5">
        <v>504.03</v>
      </c>
      <c r="F115" s="126">
        <v>0</v>
      </c>
      <c r="G115" s="126"/>
      <c r="H115" s="10">
        <v>0</v>
      </c>
      <c r="I115" s="3">
        <v>0</v>
      </c>
      <c r="J115" s="3">
        <v>40.322400000000002</v>
      </c>
      <c r="K115" s="3">
        <v>0</v>
      </c>
      <c r="L115" s="3">
        <v>0</v>
      </c>
      <c r="M115" s="3">
        <v>0</v>
      </c>
      <c r="N115" s="3">
        <v>504.03</v>
      </c>
      <c r="O115" s="3">
        <v>0</v>
      </c>
      <c r="P115" s="3">
        <v>37.799999999999997</v>
      </c>
      <c r="Q115" s="3">
        <v>0</v>
      </c>
      <c r="R115" s="3">
        <v>0</v>
      </c>
      <c r="S115" s="3">
        <v>100.806</v>
      </c>
      <c r="T115" s="3">
        <v>15.120900000000001</v>
      </c>
      <c r="U115" s="3">
        <v>29.233740000000001</v>
      </c>
      <c r="V115" s="3">
        <v>182.96064000000001</v>
      </c>
      <c r="W115" s="3">
        <v>504.03</v>
      </c>
      <c r="X115" s="3">
        <v>0</v>
      </c>
      <c r="Y115" s="3">
        <v>0</v>
      </c>
      <c r="Z115" s="3">
        <v>0</v>
      </c>
      <c r="AA115" s="3">
        <v>0</v>
      </c>
      <c r="AB115" s="13">
        <f t="shared" si="21"/>
        <v>0</v>
      </c>
      <c r="AC115" s="13">
        <f t="shared" si="22"/>
        <v>0</v>
      </c>
      <c r="AD115" s="65" t="s">
        <v>149</v>
      </c>
      <c r="AE115" s="66">
        <v>504.03</v>
      </c>
      <c r="AF115" s="66">
        <v>0</v>
      </c>
      <c r="AG115" s="66">
        <v>37.799999999999997</v>
      </c>
      <c r="AH115" s="66">
        <v>0</v>
      </c>
      <c r="AI115" s="13">
        <f t="shared" si="29"/>
        <v>0</v>
      </c>
      <c r="AJ115" s="13">
        <f t="shared" si="30"/>
        <v>2.400000000001512E-3</v>
      </c>
      <c r="AK115" t="s">
        <v>149</v>
      </c>
      <c r="AL115">
        <v>504.03</v>
      </c>
      <c r="AM115">
        <v>40.32</v>
      </c>
    </row>
    <row r="116" spans="1:39" ht="15" customHeight="1">
      <c r="A116" s="2" t="s">
        <v>150</v>
      </c>
      <c r="B116" s="2" t="s">
        <v>55</v>
      </c>
      <c r="C116" s="2" t="s">
        <v>33</v>
      </c>
      <c r="D116" s="2" t="s">
        <v>29</v>
      </c>
      <c r="E116" s="5">
        <v>3286.56</v>
      </c>
      <c r="F116" s="126">
        <v>0</v>
      </c>
      <c r="G116" s="126"/>
      <c r="H116" s="10">
        <v>0</v>
      </c>
      <c r="I116" s="3">
        <v>0</v>
      </c>
      <c r="J116" s="3">
        <v>262.9248</v>
      </c>
      <c r="K116" s="3">
        <v>0</v>
      </c>
      <c r="L116" s="3">
        <v>0</v>
      </c>
      <c r="M116" s="3">
        <v>0</v>
      </c>
      <c r="N116" s="3">
        <v>3286.56</v>
      </c>
      <c r="O116" s="3">
        <v>0</v>
      </c>
      <c r="P116" s="3">
        <v>282.97000000000003</v>
      </c>
      <c r="Q116" s="3">
        <v>0</v>
      </c>
      <c r="R116" s="3">
        <v>0</v>
      </c>
      <c r="S116" s="3">
        <v>657.31200000000001</v>
      </c>
      <c r="T116" s="3">
        <v>98.596800000000002</v>
      </c>
      <c r="U116" s="3">
        <v>190.62047999999999</v>
      </c>
      <c r="V116" s="3">
        <v>1229.49928</v>
      </c>
      <c r="W116" s="3">
        <v>3286.56</v>
      </c>
      <c r="X116" s="3">
        <v>0</v>
      </c>
      <c r="Y116" s="3">
        <v>0</v>
      </c>
      <c r="Z116" s="3">
        <v>0</v>
      </c>
      <c r="AA116" s="3">
        <v>0</v>
      </c>
      <c r="AB116" s="13">
        <f t="shared" si="21"/>
        <v>0</v>
      </c>
      <c r="AC116" s="13">
        <f t="shared" si="22"/>
        <v>0</v>
      </c>
      <c r="AD116" s="63" t="s">
        <v>150</v>
      </c>
      <c r="AE116" s="64">
        <v>3286.56</v>
      </c>
      <c r="AF116" s="64">
        <v>0</v>
      </c>
      <c r="AG116" s="64">
        <v>282.97000000000003</v>
      </c>
      <c r="AH116" s="64">
        <v>0</v>
      </c>
      <c r="AI116" s="13">
        <f t="shared" si="29"/>
        <v>0</v>
      </c>
      <c r="AJ116" s="13">
        <f t="shared" si="30"/>
        <v>4.7999999999888132E-3</v>
      </c>
      <c r="AK116" t="s">
        <v>150</v>
      </c>
      <c r="AL116" s="70">
        <v>3286.56</v>
      </c>
      <c r="AM116">
        <v>262.92</v>
      </c>
    </row>
    <row r="117" spans="1:39" ht="15" customHeight="1">
      <c r="A117" s="2" t="s">
        <v>151</v>
      </c>
      <c r="B117" s="2" t="s">
        <v>57</v>
      </c>
      <c r="C117" s="2" t="s">
        <v>33</v>
      </c>
      <c r="D117" s="2" t="s">
        <v>29</v>
      </c>
      <c r="E117" s="5">
        <v>2175.9499999999998</v>
      </c>
      <c r="F117" s="126">
        <v>0</v>
      </c>
      <c r="G117" s="126"/>
      <c r="H117" s="10">
        <v>0</v>
      </c>
      <c r="I117" s="3">
        <v>0</v>
      </c>
      <c r="J117" s="3">
        <v>174.07599999999999</v>
      </c>
      <c r="K117" s="3">
        <v>0</v>
      </c>
      <c r="L117" s="3">
        <v>0</v>
      </c>
      <c r="M117" s="3">
        <v>0</v>
      </c>
      <c r="N117" s="3">
        <v>2175.9499999999998</v>
      </c>
      <c r="O117" s="3">
        <v>0</v>
      </c>
      <c r="P117" s="3">
        <v>171.51</v>
      </c>
      <c r="Q117" s="3">
        <v>0</v>
      </c>
      <c r="R117" s="3">
        <v>0</v>
      </c>
      <c r="S117" s="3">
        <v>435.19</v>
      </c>
      <c r="T117" s="3">
        <v>65.278499999999994</v>
      </c>
      <c r="U117" s="3">
        <v>126.2051</v>
      </c>
      <c r="V117" s="3">
        <v>798.18359999999996</v>
      </c>
      <c r="W117" s="3">
        <v>2175.9499999999998</v>
      </c>
      <c r="X117" s="3">
        <v>0</v>
      </c>
      <c r="Y117" s="3">
        <v>0</v>
      </c>
      <c r="Z117" s="3">
        <v>0</v>
      </c>
      <c r="AA117" s="3">
        <v>0</v>
      </c>
      <c r="AB117" s="13">
        <f t="shared" si="21"/>
        <v>0</v>
      </c>
      <c r="AC117" s="13">
        <f t="shared" si="22"/>
        <v>0</v>
      </c>
      <c r="AD117" s="65" t="s">
        <v>151</v>
      </c>
      <c r="AE117" s="66">
        <v>2175.9499999999998</v>
      </c>
      <c r="AF117" s="66">
        <v>0</v>
      </c>
      <c r="AG117" s="66">
        <v>171.51</v>
      </c>
      <c r="AH117" s="66">
        <v>0</v>
      </c>
      <c r="AI117" s="13">
        <f t="shared" si="29"/>
        <v>0</v>
      </c>
      <c r="AJ117" s="13">
        <f t="shared" si="30"/>
        <v>6.0000000000002274E-3</v>
      </c>
      <c r="AK117" t="s">
        <v>151</v>
      </c>
      <c r="AL117" s="70">
        <v>2175.9499999999998</v>
      </c>
      <c r="AM117">
        <v>174.07</v>
      </c>
    </row>
    <row r="118" spans="1:39" ht="15" customHeight="1">
      <c r="A118" s="71" t="s">
        <v>152</v>
      </c>
      <c r="B118" s="71" t="s">
        <v>27</v>
      </c>
      <c r="C118" s="71" t="s">
        <v>28</v>
      </c>
      <c r="D118" s="71" t="s">
        <v>29</v>
      </c>
      <c r="E118" s="72">
        <v>2313.0500000000002</v>
      </c>
      <c r="F118" s="127">
        <v>1159.18</v>
      </c>
      <c r="G118" s="127"/>
      <c r="H118" s="74">
        <v>0</v>
      </c>
      <c r="I118" s="73">
        <v>845.13</v>
      </c>
      <c r="J118" s="73">
        <v>185.04400000000001</v>
      </c>
      <c r="K118" s="73">
        <v>92.734399999999994</v>
      </c>
      <c r="L118" s="73">
        <v>0</v>
      </c>
      <c r="M118" s="73">
        <v>67.610399999999998</v>
      </c>
      <c r="N118" s="73">
        <v>2313.0500000000002</v>
      </c>
      <c r="O118" s="73">
        <v>845.13</v>
      </c>
      <c r="P118" s="73">
        <v>183.85</v>
      </c>
      <c r="Q118" s="73">
        <v>63.38</v>
      </c>
      <c r="R118" s="73">
        <v>0</v>
      </c>
      <c r="S118" s="3">
        <v>631.63599999999997</v>
      </c>
      <c r="T118" s="3">
        <v>94.745400000000004</v>
      </c>
      <c r="U118" s="3">
        <v>183.17444</v>
      </c>
      <c r="V118" s="3">
        <v>1156.78584</v>
      </c>
      <c r="W118" s="3">
        <v>2313.0500000000002</v>
      </c>
      <c r="X118" s="3">
        <v>0</v>
      </c>
      <c r="Y118" s="3">
        <v>0</v>
      </c>
      <c r="Z118" s="3">
        <v>0</v>
      </c>
      <c r="AA118" s="3">
        <v>0</v>
      </c>
      <c r="AB118" s="13">
        <f t="shared" si="21"/>
        <v>0</v>
      </c>
      <c r="AC118" s="13">
        <f t="shared" si="22"/>
        <v>0</v>
      </c>
      <c r="AD118" s="63" t="s">
        <v>152</v>
      </c>
      <c r="AE118" s="64">
        <v>2313.0500000000002</v>
      </c>
      <c r="AF118" s="64">
        <v>845.13</v>
      </c>
      <c r="AG118" s="64">
        <v>183.85</v>
      </c>
      <c r="AH118" s="64">
        <v>63.38</v>
      </c>
      <c r="AI118" s="13">
        <f t="shared" ref="AI118:AI119" si="31">(E118+F118+H118+I118)-AL118</f>
        <v>4317.3600000000006</v>
      </c>
      <c r="AJ118" s="13">
        <f t="shared" ref="AJ118:AJ119" si="32">(J118+K118+L118+M118)-AM118</f>
        <v>345.38880000000006</v>
      </c>
      <c r="AL118" s="70"/>
    </row>
    <row r="119" spans="1:39" ht="15" customHeight="1">
      <c r="A119" s="2" t="s">
        <v>153</v>
      </c>
      <c r="B119" s="2" t="s">
        <v>50</v>
      </c>
      <c r="C119" s="2" t="s">
        <v>33</v>
      </c>
      <c r="D119" s="2" t="s">
        <v>29</v>
      </c>
      <c r="E119" s="5">
        <v>2351.2399999999998</v>
      </c>
      <c r="F119" s="126">
        <v>0</v>
      </c>
      <c r="G119" s="126"/>
      <c r="H119" s="10">
        <v>0</v>
      </c>
      <c r="I119" s="3">
        <v>0</v>
      </c>
      <c r="J119" s="3">
        <v>188.0992</v>
      </c>
      <c r="K119" s="3">
        <v>0</v>
      </c>
      <c r="L119" s="3">
        <v>0</v>
      </c>
      <c r="M119" s="3">
        <v>0</v>
      </c>
      <c r="N119" s="3">
        <v>2351.2399999999998</v>
      </c>
      <c r="O119" s="3">
        <v>0</v>
      </c>
      <c r="P119" s="3">
        <v>187.29</v>
      </c>
      <c r="Q119" s="3">
        <v>0</v>
      </c>
      <c r="R119" s="3">
        <v>0</v>
      </c>
      <c r="S119" s="3">
        <v>470.24799999999999</v>
      </c>
      <c r="T119" s="3">
        <v>70.537199999999999</v>
      </c>
      <c r="U119" s="3">
        <v>136.37191999999999</v>
      </c>
      <c r="V119" s="3">
        <v>864.44712000000004</v>
      </c>
      <c r="W119" s="3">
        <v>2351.2399999999998</v>
      </c>
      <c r="X119" s="3">
        <v>0</v>
      </c>
      <c r="Y119" s="3">
        <v>0</v>
      </c>
      <c r="Z119" s="3">
        <v>0</v>
      </c>
      <c r="AA119" s="3">
        <v>0</v>
      </c>
      <c r="AB119" s="13">
        <f t="shared" si="21"/>
        <v>0</v>
      </c>
      <c r="AC119" s="13">
        <f t="shared" si="22"/>
        <v>0</v>
      </c>
      <c r="AD119" s="65" t="s">
        <v>153</v>
      </c>
      <c r="AE119" s="66">
        <v>2351.2399999999998</v>
      </c>
      <c r="AF119" s="66">
        <v>0</v>
      </c>
      <c r="AG119" s="66">
        <v>187.29</v>
      </c>
      <c r="AH119" s="66">
        <v>0</v>
      </c>
      <c r="AI119" s="13">
        <f t="shared" si="31"/>
        <v>0</v>
      </c>
      <c r="AJ119" s="13">
        <f t="shared" si="32"/>
        <v>9.1999999999927695E-3</v>
      </c>
      <c r="AK119" t="s">
        <v>153</v>
      </c>
      <c r="AL119" s="70">
        <v>2351.2399999999998</v>
      </c>
      <c r="AM119">
        <v>188.09</v>
      </c>
    </row>
    <row r="120" spans="1:39" ht="15" customHeight="1">
      <c r="A120" s="71" t="s">
        <v>154</v>
      </c>
      <c r="B120" s="71" t="s">
        <v>57</v>
      </c>
      <c r="C120" s="71" t="s">
        <v>28</v>
      </c>
      <c r="D120" s="71" t="s">
        <v>29</v>
      </c>
      <c r="E120" s="72">
        <v>1316.27</v>
      </c>
      <c r="F120" s="127">
        <v>0</v>
      </c>
      <c r="G120" s="127"/>
      <c r="H120" s="74">
        <v>0</v>
      </c>
      <c r="I120" s="73">
        <v>675.45</v>
      </c>
      <c r="J120" s="73">
        <v>105.30159999999999</v>
      </c>
      <c r="K120" s="73">
        <v>0</v>
      </c>
      <c r="L120" s="73">
        <v>0</v>
      </c>
      <c r="M120" s="73">
        <v>54.036000000000001</v>
      </c>
      <c r="N120" s="73">
        <v>1316.27</v>
      </c>
      <c r="O120" s="73">
        <v>675.45</v>
      </c>
      <c r="P120" s="73">
        <v>98.72</v>
      </c>
      <c r="Q120" s="73">
        <v>50.65</v>
      </c>
      <c r="R120" s="73">
        <v>0</v>
      </c>
      <c r="S120" s="3">
        <v>398.34399999999999</v>
      </c>
      <c r="T120" s="3">
        <v>59.751600000000003</v>
      </c>
      <c r="U120" s="3">
        <v>115.51976000000001</v>
      </c>
      <c r="V120" s="3">
        <v>722.98536000000001</v>
      </c>
      <c r="W120" s="3">
        <v>1316.27</v>
      </c>
      <c r="X120" s="3">
        <v>0</v>
      </c>
      <c r="Y120" s="3">
        <v>0</v>
      </c>
      <c r="Z120" s="3">
        <v>0</v>
      </c>
      <c r="AA120" s="3">
        <v>0</v>
      </c>
      <c r="AB120" s="13">
        <f t="shared" si="21"/>
        <v>0</v>
      </c>
      <c r="AC120" s="13">
        <f t="shared" si="22"/>
        <v>0</v>
      </c>
      <c r="AD120" s="63" t="s">
        <v>154</v>
      </c>
      <c r="AE120" s="64">
        <v>1316.27</v>
      </c>
      <c r="AF120" s="64">
        <v>675.45</v>
      </c>
      <c r="AG120" s="64">
        <v>98.72</v>
      </c>
      <c r="AH120" s="64">
        <v>50.65</v>
      </c>
      <c r="AI120" s="13">
        <f t="shared" ref="AI120:AI132" si="33">(E120+F120+H120+I120)-AL120</f>
        <v>0</v>
      </c>
      <c r="AJ120" s="13">
        <f t="shared" ref="AJ120:AJ132" si="34">(J120+K120+L120+M120)-AM120</f>
        <v>7.5999999999964984E-3</v>
      </c>
      <c r="AK120" t="s">
        <v>154</v>
      </c>
      <c r="AL120" s="70">
        <v>1991.72</v>
      </c>
      <c r="AM120">
        <v>159.33000000000001</v>
      </c>
    </row>
    <row r="121" spans="1:39" ht="15" customHeight="1">
      <c r="A121" s="2" t="s">
        <v>155</v>
      </c>
      <c r="B121" s="2" t="s">
        <v>48</v>
      </c>
      <c r="C121" s="2" t="s">
        <v>33</v>
      </c>
      <c r="D121" s="2" t="s">
        <v>29</v>
      </c>
      <c r="E121" s="5">
        <v>538.58000000000004</v>
      </c>
      <c r="F121" s="126">
        <v>0</v>
      </c>
      <c r="G121" s="126"/>
      <c r="H121" s="10">
        <v>0</v>
      </c>
      <c r="I121" s="3">
        <v>0</v>
      </c>
      <c r="J121" s="3">
        <v>43.086399999999998</v>
      </c>
      <c r="K121" s="3">
        <v>0</v>
      </c>
      <c r="L121" s="3">
        <v>0</v>
      </c>
      <c r="M121" s="3">
        <v>0</v>
      </c>
      <c r="N121" s="3">
        <v>538.58000000000004</v>
      </c>
      <c r="O121" s="3">
        <v>0</v>
      </c>
      <c r="P121" s="3">
        <v>40.39</v>
      </c>
      <c r="Q121" s="3">
        <v>0</v>
      </c>
      <c r="R121" s="3">
        <v>0</v>
      </c>
      <c r="S121" s="3">
        <v>107.71599999999999</v>
      </c>
      <c r="T121" s="3">
        <v>16.157399999999999</v>
      </c>
      <c r="U121" s="3">
        <v>31.237639999999999</v>
      </c>
      <c r="V121" s="3">
        <v>195.50103999999999</v>
      </c>
      <c r="W121" s="3">
        <v>538.58000000000004</v>
      </c>
      <c r="X121" s="3">
        <v>0</v>
      </c>
      <c r="Y121" s="3">
        <v>0</v>
      </c>
      <c r="Z121" s="3">
        <v>0</v>
      </c>
      <c r="AA121" s="3">
        <v>0</v>
      </c>
      <c r="AB121" s="13">
        <f t="shared" si="21"/>
        <v>0</v>
      </c>
      <c r="AC121" s="13">
        <f t="shared" si="22"/>
        <v>0</v>
      </c>
      <c r="AD121" s="61" t="s">
        <v>155</v>
      </c>
      <c r="AE121" s="62">
        <v>538.58000000000004</v>
      </c>
      <c r="AF121" s="62">
        <v>0</v>
      </c>
      <c r="AG121" s="62">
        <v>40.39</v>
      </c>
      <c r="AH121" s="62">
        <v>0</v>
      </c>
      <c r="AI121" s="13">
        <f t="shared" si="33"/>
        <v>0</v>
      </c>
      <c r="AJ121" s="13">
        <f t="shared" si="34"/>
        <v>6.3999999999992951E-3</v>
      </c>
      <c r="AK121" t="s">
        <v>155</v>
      </c>
      <c r="AL121">
        <v>538.58000000000004</v>
      </c>
      <c r="AM121">
        <v>43.08</v>
      </c>
    </row>
    <row r="122" spans="1:39" ht="15" customHeight="1">
      <c r="A122" s="2" t="s">
        <v>156</v>
      </c>
      <c r="B122" s="2" t="s">
        <v>40</v>
      </c>
      <c r="C122" s="2" t="s">
        <v>33</v>
      </c>
      <c r="D122" s="2" t="s">
        <v>29</v>
      </c>
      <c r="E122" s="5">
        <v>1968.03</v>
      </c>
      <c r="F122" s="126">
        <v>0</v>
      </c>
      <c r="G122" s="126"/>
      <c r="H122" s="10">
        <v>0</v>
      </c>
      <c r="I122" s="3">
        <v>0</v>
      </c>
      <c r="J122" s="3">
        <v>157.44239999999999</v>
      </c>
      <c r="K122" s="3">
        <v>0</v>
      </c>
      <c r="L122" s="3">
        <v>0</v>
      </c>
      <c r="M122" s="3">
        <v>0</v>
      </c>
      <c r="N122" s="3">
        <v>1968.03</v>
      </c>
      <c r="O122" s="3">
        <v>0</v>
      </c>
      <c r="P122" s="3">
        <v>152.80000000000001</v>
      </c>
      <c r="Q122" s="3">
        <v>0</v>
      </c>
      <c r="R122" s="3">
        <v>0</v>
      </c>
      <c r="S122" s="3">
        <v>393.60599999999999</v>
      </c>
      <c r="T122" s="3">
        <v>59.040900000000001</v>
      </c>
      <c r="U122" s="3">
        <v>114.14574</v>
      </c>
      <c r="V122" s="3">
        <v>719.59263999999996</v>
      </c>
      <c r="W122" s="3">
        <v>1968.03</v>
      </c>
      <c r="X122" s="3">
        <v>0</v>
      </c>
      <c r="Y122" s="3">
        <v>0</v>
      </c>
      <c r="Z122" s="3">
        <v>0</v>
      </c>
      <c r="AA122" s="3">
        <v>0</v>
      </c>
      <c r="AB122" s="13">
        <f t="shared" si="21"/>
        <v>0</v>
      </c>
      <c r="AC122" s="13">
        <f t="shared" si="22"/>
        <v>0</v>
      </c>
      <c r="AD122" s="59" t="s">
        <v>156</v>
      </c>
      <c r="AE122" s="60">
        <v>1968.03</v>
      </c>
      <c r="AF122" s="60">
        <v>0</v>
      </c>
      <c r="AG122" s="60">
        <v>152.80000000000001</v>
      </c>
      <c r="AH122" s="60">
        <v>0</v>
      </c>
      <c r="AI122" s="13">
        <f t="shared" si="33"/>
        <v>0</v>
      </c>
      <c r="AJ122" s="13">
        <f t="shared" si="34"/>
        <v>2.3999999999944066E-3</v>
      </c>
      <c r="AK122" t="s">
        <v>156</v>
      </c>
      <c r="AL122" s="70">
        <v>1968.03</v>
      </c>
      <c r="AM122">
        <v>157.44</v>
      </c>
    </row>
    <row r="123" spans="1:39" ht="15" customHeight="1">
      <c r="A123" s="2" t="s">
        <v>157</v>
      </c>
      <c r="B123" s="2" t="s">
        <v>65</v>
      </c>
      <c r="C123" s="2" t="s">
        <v>33</v>
      </c>
      <c r="D123" s="2" t="s">
        <v>29</v>
      </c>
      <c r="E123" s="5">
        <v>3052.01</v>
      </c>
      <c r="F123" s="126">
        <v>0</v>
      </c>
      <c r="G123" s="126"/>
      <c r="H123" s="10">
        <v>0</v>
      </c>
      <c r="I123" s="3">
        <v>0</v>
      </c>
      <c r="J123" s="3">
        <v>244.16079999999999</v>
      </c>
      <c r="K123" s="3">
        <v>0</v>
      </c>
      <c r="L123" s="3">
        <v>0</v>
      </c>
      <c r="M123" s="3">
        <v>0</v>
      </c>
      <c r="N123" s="3">
        <v>3052.01</v>
      </c>
      <c r="O123" s="3">
        <v>0</v>
      </c>
      <c r="P123" s="3">
        <v>254.83</v>
      </c>
      <c r="Q123" s="3">
        <v>0</v>
      </c>
      <c r="R123" s="3">
        <v>0</v>
      </c>
      <c r="S123" s="3">
        <v>610.40200000000004</v>
      </c>
      <c r="T123" s="3">
        <v>91.560299999999998</v>
      </c>
      <c r="U123" s="3">
        <v>177.01658</v>
      </c>
      <c r="V123" s="3">
        <v>1133.80888</v>
      </c>
      <c r="W123" s="3">
        <v>3052.01</v>
      </c>
      <c r="X123" s="3">
        <v>0</v>
      </c>
      <c r="Y123" s="3">
        <v>0</v>
      </c>
      <c r="Z123" s="3">
        <v>0</v>
      </c>
      <c r="AA123" s="3">
        <v>0</v>
      </c>
      <c r="AB123" s="13">
        <f t="shared" si="21"/>
        <v>0</v>
      </c>
      <c r="AC123" s="13">
        <f t="shared" si="22"/>
        <v>0</v>
      </c>
      <c r="AD123" s="65" t="s">
        <v>157</v>
      </c>
      <c r="AE123" s="66">
        <v>3052.01</v>
      </c>
      <c r="AF123" s="66">
        <v>0</v>
      </c>
      <c r="AG123" s="66">
        <v>254.83</v>
      </c>
      <c r="AH123" s="66">
        <v>0</v>
      </c>
      <c r="AI123" s="13">
        <f t="shared" si="33"/>
        <v>0</v>
      </c>
      <c r="AJ123" s="13">
        <f t="shared" si="34"/>
        <v>7.9999999999813554E-4</v>
      </c>
      <c r="AK123" t="s">
        <v>157</v>
      </c>
      <c r="AL123" s="70">
        <v>3052.01</v>
      </c>
      <c r="AM123">
        <v>244.16</v>
      </c>
    </row>
    <row r="124" spans="1:39" ht="15" customHeight="1">
      <c r="A124" s="2" t="s">
        <v>158</v>
      </c>
      <c r="B124" s="2" t="s">
        <v>32</v>
      </c>
      <c r="C124" s="2" t="s">
        <v>33</v>
      </c>
      <c r="D124" s="2" t="s">
        <v>29</v>
      </c>
      <c r="E124" s="5">
        <v>2297.5700000000002</v>
      </c>
      <c r="F124" s="126">
        <v>0</v>
      </c>
      <c r="G124" s="126"/>
      <c r="H124" s="10">
        <v>0</v>
      </c>
      <c r="I124" s="3">
        <v>0</v>
      </c>
      <c r="J124" s="3">
        <v>183.8056</v>
      </c>
      <c r="K124" s="3">
        <v>0</v>
      </c>
      <c r="L124" s="3">
        <v>0</v>
      </c>
      <c r="M124" s="3">
        <v>0</v>
      </c>
      <c r="N124" s="3">
        <v>2297.5700000000002</v>
      </c>
      <c r="O124" s="3">
        <v>0</v>
      </c>
      <c r="P124" s="3">
        <v>182.46</v>
      </c>
      <c r="Q124" s="3">
        <v>0</v>
      </c>
      <c r="R124" s="3">
        <v>0</v>
      </c>
      <c r="S124" s="3">
        <v>459.51400000000001</v>
      </c>
      <c r="T124" s="3">
        <v>68.927099999999996</v>
      </c>
      <c r="U124" s="3">
        <v>133.25906000000001</v>
      </c>
      <c r="V124" s="3">
        <v>844.16016000000002</v>
      </c>
      <c r="W124" s="3">
        <v>2297.5700000000002</v>
      </c>
      <c r="X124" s="3">
        <v>0</v>
      </c>
      <c r="Y124" s="3">
        <v>0</v>
      </c>
      <c r="Z124" s="3">
        <v>0</v>
      </c>
      <c r="AA124" s="3">
        <v>0</v>
      </c>
      <c r="AB124" s="13">
        <f t="shared" si="21"/>
        <v>0</v>
      </c>
      <c r="AC124" s="13">
        <f t="shared" si="22"/>
        <v>0</v>
      </c>
      <c r="AD124" s="59" t="s">
        <v>158</v>
      </c>
      <c r="AE124" s="60">
        <v>2297.5700000000002</v>
      </c>
      <c r="AF124" s="60">
        <v>0</v>
      </c>
      <c r="AG124" s="60">
        <v>182.46</v>
      </c>
      <c r="AH124" s="60">
        <v>0</v>
      </c>
      <c r="AI124" s="13">
        <f t="shared" si="33"/>
        <v>0</v>
      </c>
      <c r="AJ124" s="13">
        <f t="shared" si="34"/>
        <v>5.5999999999869488E-3</v>
      </c>
      <c r="AK124" t="s">
        <v>158</v>
      </c>
      <c r="AL124" s="70">
        <v>2297.5700000000002</v>
      </c>
      <c r="AM124">
        <v>183.8</v>
      </c>
    </row>
    <row r="125" spans="1:39" ht="15" customHeight="1">
      <c r="A125" s="2" t="s">
        <v>159</v>
      </c>
      <c r="B125" s="2" t="s">
        <v>42</v>
      </c>
      <c r="C125" s="2" t="s">
        <v>33</v>
      </c>
      <c r="D125" s="2" t="s">
        <v>29</v>
      </c>
      <c r="E125" s="5">
        <v>5324.2</v>
      </c>
      <c r="F125" s="126">
        <v>0</v>
      </c>
      <c r="G125" s="126"/>
      <c r="H125" s="10">
        <v>0</v>
      </c>
      <c r="I125" s="3">
        <v>0</v>
      </c>
      <c r="J125" s="3">
        <v>425.93599999999998</v>
      </c>
      <c r="K125" s="3">
        <v>0</v>
      </c>
      <c r="L125" s="3">
        <v>0</v>
      </c>
      <c r="M125" s="3">
        <v>0</v>
      </c>
      <c r="N125" s="3">
        <v>5324.2</v>
      </c>
      <c r="O125" s="3">
        <v>0</v>
      </c>
      <c r="P125" s="3">
        <v>546.89</v>
      </c>
      <c r="Q125" s="3">
        <v>0</v>
      </c>
      <c r="R125" s="3">
        <v>0</v>
      </c>
      <c r="S125" s="3">
        <v>1064.8399999999999</v>
      </c>
      <c r="T125" s="3">
        <v>159.726</v>
      </c>
      <c r="U125" s="3">
        <v>308.80360000000002</v>
      </c>
      <c r="V125" s="3">
        <v>2080.2595999999999</v>
      </c>
      <c r="W125" s="3">
        <v>5324.2</v>
      </c>
      <c r="X125" s="3">
        <v>0</v>
      </c>
      <c r="Y125" s="3">
        <v>118.71</v>
      </c>
      <c r="Z125" s="3">
        <v>0</v>
      </c>
      <c r="AA125" s="3">
        <v>0</v>
      </c>
      <c r="AB125" s="13">
        <f t="shared" si="21"/>
        <v>0</v>
      </c>
      <c r="AC125" s="13">
        <f t="shared" si="22"/>
        <v>0</v>
      </c>
      <c r="AD125" s="65" t="s">
        <v>159</v>
      </c>
      <c r="AE125" s="66">
        <v>5324.2</v>
      </c>
      <c r="AF125" s="66">
        <v>0</v>
      </c>
      <c r="AG125" s="66">
        <v>546.89</v>
      </c>
      <c r="AH125" s="66">
        <v>0</v>
      </c>
      <c r="AI125" s="13">
        <f t="shared" si="33"/>
        <v>0</v>
      </c>
      <c r="AJ125" s="13">
        <f t="shared" si="34"/>
        <v>5.9999999999718057E-3</v>
      </c>
      <c r="AK125" t="s">
        <v>159</v>
      </c>
      <c r="AL125" s="70">
        <v>5324.2</v>
      </c>
      <c r="AM125">
        <v>425.93</v>
      </c>
    </row>
    <row r="126" spans="1:39" ht="15" customHeight="1">
      <c r="A126" s="2" t="s">
        <v>160</v>
      </c>
      <c r="B126" s="2" t="s">
        <v>42</v>
      </c>
      <c r="C126" s="2" t="s">
        <v>33</v>
      </c>
      <c r="D126" s="2" t="s">
        <v>29</v>
      </c>
      <c r="E126" s="5">
        <v>3132.08</v>
      </c>
      <c r="F126" s="126">
        <v>0</v>
      </c>
      <c r="G126" s="126"/>
      <c r="H126" s="10">
        <v>0</v>
      </c>
      <c r="I126" s="3">
        <v>0</v>
      </c>
      <c r="J126" s="3">
        <v>250.56639999999999</v>
      </c>
      <c r="K126" s="3">
        <v>0</v>
      </c>
      <c r="L126" s="3">
        <v>0</v>
      </c>
      <c r="M126" s="3">
        <v>0</v>
      </c>
      <c r="N126" s="3">
        <v>3132.08</v>
      </c>
      <c r="O126" s="3">
        <v>0</v>
      </c>
      <c r="P126" s="3">
        <v>264.43</v>
      </c>
      <c r="Q126" s="3">
        <v>0</v>
      </c>
      <c r="R126" s="3">
        <v>0</v>
      </c>
      <c r="S126" s="3">
        <v>626.41600000000005</v>
      </c>
      <c r="T126" s="3">
        <v>93.962400000000002</v>
      </c>
      <c r="U126" s="3">
        <v>181.66064</v>
      </c>
      <c r="V126" s="3">
        <v>1166.4690399999999</v>
      </c>
      <c r="W126" s="3">
        <v>3132.08</v>
      </c>
      <c r="X126" s="3">
        <v>0</v>
      </c>
      <c r="Y126" s="3">
        <v>0</v>
      </c>
      <c r="Z126" s="3">
        <v>0</v>
      </c>
      <c r="AA126" s="3">
        <v>0</v>
      </c>
      <c r="AB126" s="13">
        <f t="shared" si="21"/>
        <v>0</v>
      </c>
      <c r="AC126" s="13">
        <f t="shared" si="22"/>
        <v>0</v>
      </c>
      <c r="AD126" s="63" t="s">
        <v>160</v>
      </c>
      <c r="AE126" s="64">
        <v>3132.08</v>
      </c>
      <c r="AF126" s="64">
        <v>0</v>
      </c>
      <c r="AG126" s="64">
        <v>264.43</v>
      </c>
      <c r="AH126" s="64">
        <v>0</v>
      </c>
      <c r="AI126" s="13">
        <f t="shared" si="33"/>
        <v>0</v>
      </c>
      <c r="AJ126" s="13">
        <f t="shared" si="34"/>
        <v>6.3999999999850843E-3</v>
      </c>
      <c r="AK126" t="s">
        <v>160</v>
      </c>
      <c r="AL126" s="70">
        <v>3132.08</v>
      </c>
      <c r="AM126">
        <v>250.56</v>
      </c>
    </row>
    <row r="127" spans="1:39" ht="15" customHeight="1">
      <c r="A127" s="2" t="s">
        <v>161</v>
      </c>
      <c r="B127" s="2" t="s">
        <v>48</v>
      </c>
      <c r="C127" s="2" t="s">
        <v>33</v>
      </c>
      <c r="D127" s="2" t="s">
        <v>29</v>
      </c>
      <c r="E127" s="5">
        <v>2296.6999999999998</v>
      </c>
      <c r="F127" s="126">
        <v>0</v>
      </c>
      <c r="G127" s="126"/>
      <c r="H127" s="10">
        <v>0</v>
      </c>
      <c r="I127" s="3">
        <v>0</v>
      </c>
      <c r="J127" s="3">
        <v>183.73599999999999</v>
      </c>
      <c r="K127" s="3">
        <v>0</v>
      </c>
      <c r="L127" s="3">
        <v>0</v>
      </c>
      <c r="M127" s="3">
        <v>0</v>
      </c>
      <c r="N127" s="3">
        <v>2296.6999999999998</v>
      </c>
      <c r="O127" s="3">
        <v>0</v>
      </c>
      <c r="P127" s="3">
        <v>182.38</v>
      </c>
      <c r="Q127" s="3">
        <v>0</v>
      </c>
      <c r="R127" s="3">
        <v>0</v>
      </c>
      <c r="S127" s="3">
        <v>459.34</v>
      </c>
      <c r="T127" s="3">
        <v>68.900999999999996</v>
      </c>
      <c r="U127" s="3">
        <v>133.20859999999999</v>
      </c>
      <c r="V127" s="3">
        <v>843.82960000000003</v>
      </c>
      <c r="W127" s="3">
        <v>2296.6999999999998</v>
      </c>
      <c r="X127" s="3">
        <v>0</v>
      </c>
      <c r="Y127" s="3">
        <v>0</v>
      </c>
      <c r="Z127" s="3">
        <v>0</v>
      </c>
      <c r="AA127" s="3">
        <v>0</v>
      </c>
      <c r="AB127" s="13">
        <f t="shared" si="21"/>
        <v>0</v>
      </c>
      <c r="AC127" s="13">
        <f t="shared" si="22"/>
        <v>0</v>
      </c>
      <c r="AD127" s="65" t="s">
        <v>161</v>
      </c>
      <c r="AE127" s="66">
        <v>2296.6999999999998</v>
      </c>
      <c r="AF127" s="66">
        <v>0</v>
      </c>
      <c r="AG127" s="66">
        <v>182.38</v>
      </c>
      <c r="AH127" s="66">
        <v>0</v>
      </c>
      <c r="AI127" s="13">
        <f t="shared" si="33"/>
        <v>0</v>
      </c>
      <c r="AJ127" s="13">
        <f t="shared" si="34"/>
        <v>6.0000000000002274E-3</v>
      </c>
      <c r="AK127" t="s">
        <v>161</v>
      </c>
      <c r="AL127" s="70">
        <v>2296.6999999999998</v>
      </c>
      <c r="AM127">
        <v>183.73</v>
      </c>
    </row>
    <row r="128" spans="1:39" ht="15" customHeight="1">
      <c r="A128" s="2" t="s">
        <v>162</v>
      </c>
      <c r="B128" s="2" t="s">
        <v>65</v>
      </c>
      <c r="C128" s="2" t="s">
        <v>33</v>
      </c>
      <c r="D128" s="2" t="s">
        <v>29</v>
      </c>
      <c r="E128" s="5">
        <v>2616</v>
      </c>
      <c r="F128" s="126">
        <v>0</v>
      </c>
      <c r="G128" s="126"/>
      <c r="H128" s="10">
        <v>0</v>
      </c>
      <c r="I128" s="3">
        <v>0</v>
      </c>
      <c r="J128" s="3">
        <v>209.28</v>
      </c>
      <c r="K128" s="3">
        <v>0</v>
      </c>
      <c r="L128" s="3">
        <v>0</v>
      </c>
      <c r="M128" s="3">
        <v>0</v>
      </c>
      <c r="N128" s="3">
        <v>2616</v>
      </c>
      <c r="O128" s="3">
        <v>0</v>
      </c>
      <c r="P128" s="3">
        <v>211.12</v>
      </c>
      <c r="Q128" s="3">
        <v>0</v>
      </c>
      <c r="R128" s="3">
        <v>0</v>
      </c>
      <c r="S128" s="3">
        <v>523.20000000000005</v>
      </c>
      <c r="T128" s="3">
        <v>78.48</v>
      </c>
      <c r="U128" s="3">
        <v>151.72800000000001</v>
      </c>
      <c r="V128" s="3">
        <v>964.52800000000002</v>
      </c>
      <c r="W128" s="3">
        <v>2616</v>
      </c>
      <c r="X128" s="3">
        <v>0</v>
      </c>
      <c r="Y128" s="3">
        <v>0</v>
      </c>
      <c r="Z128" s="3">
        <v>0</v>
      </c>
      <c r="AA128" s="3">
        <v>0</v>
      </c>
      <c r="AB128" s="13">
        <f t="shared" si="21"/>
        <v>0</v>
      </c>
      <c r="AC128" s="13">
        <f t="shared" si="22"/>
        <v>0</v>
      </c>
      <c r="AD128" s="59" t="s">
        <v>162</v>
      </c>
      <c r="AE128" s="60">
        <v>2616</v>
      </c>
      <c r="AF128" s="60">
        <v>0</v>
      </c>
      <c r="AG128" s="60">
        <v>211.12</v>
      </c>
      <c r="AH128" s="60">
        <v>0</v>
      </c>
      <c r="AI128" s="13">
        <f t="shared" si="33"/>
        <v>0</v>
      </c>
      <c r="AJ128" s="13">
        <f t="shared" si="34"/>
        <v>0</v>
      </c>
      <c r="AK128" t="s">
        <v>162</v>
      </c>
      <c r="AL128" s="70">
        <v>2616</v>
      </c>
      <c r="AM128">
        <v>209.28</v>
      </c>
    </row>
    <row r="129" spans="1:43" ht="15" customHeight="1">
      <c r="A129" s="2" t="s">
        <v>163</v>
      </c>
      <c r="B129" s="2" t="s">
        <v>57</v>
      </c>
      <c r="C129" s="2" t="s">
        <v>33</v>
      </c>
      <c r="D129" s="2" t="s">
        <v>29</v>
      </c>
      <c r="E129" s="5">
        <v>522.33000000000004</v>
      </c>
      <c r="F129" s="126">
        <v>0</v>
      </c>
      <c r="G129" s="126"/>
      <c r="H129" s="10">
        <v>0</v>
      </c>
      <c r="I129" s="3">
        <v>0</v>
      </c>
      <c r="J129" s="3">
        <v>41.7864</v>
      </c>
      <c r="K129" s="3">
        <v>0</v>
      </c>
      <c r="L129" s="3">
        <v>0</v>
      </c>
      <c r="M129" s="3">
        <v>0</v>
      </c>
      <c r="N129" s="3">
        <v>522.33000000000004</v>
      </c>
      <c r="O129" s="3">
        <v>0</v>
      </c>
      <c r="P129" s="3">
        <v>39.17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13">
        <f t="shared" ref="AB129" si="35">(N129+O129)-(AE129+AF129)</f>
        <v>0</v>
      </c>
      <c r="AC129" s="13">
        <f t="shared" ref="AC129" si="36">(P129+Q129)-(AG129+AH129)</f>
        <v>0</v>
      </c>
      <c r="AD129" s="65" t="s">
        <v>163</v>
      </c>
      <c r="AE129" s="66">
        <v>522.33000000000004</v>
      </c>
      <c r="AF129" s="66">
        <v>0</v>
      </c>
      <c r="AG129" s="66">
        <v>39.17</v>
      </c>
      <c r="AH129" s="66">
        <v>0</v>
      </c>
      <c r="AI129" s="13">
        <f t="shared" si="33"/>
        <v>0</v>
      </c>
      <c r="AJ129" s="13">
        <f t="shared" si="34"/>
        <v>6.3999999999992951E-3</v>
      </c>
      <c r="AK129" t="s">
        <v>163</v>
      </c>
      <c r="AL129">
        <v>522.33000000000004</v>
      </c>
      <c r="AM129">
        <v>41.78</v>
      </c>
    </row>
    <row r="130" spans="1:43" ht="15" customHeight="1">
      <c r="A130" s="2" t="s">
        <v>164</v>
      </c>
      <c r="B130" s="2" t="s">
        <v>48</v>
      </c>
      <c r="C130" s="2" t="s">
        <v>33</v>
      </c>
      <c r="D130" s="2" t="s">
        <v>29</v>
      </c>
      <c r="E130" s="5">
        <v>2068.35</v>
      </c>
      <c r="F130" s="126">
        <v>0</v>
      </c>
      <c r="G130" s="126"/>
      <c r="H130" s="10">
        <v>0</v>
      </c>
      <c r="I130" s="3">
        <v>0</v>
      </c>
      <c r="J130" s="3">
        <v>165.46799999999999</v>
      </c>
      <c r="K130" s="3">
        <v>0</v>
      </c>
      <c r="L130" s="3">
        <v>0</v>
      </c>
      <c r="M130" s="3">
        <v>0</v>
      </c>
      <c r="N130" s="3">
        <v>2068.35</v>
      </c>
      <c r="O130" s="3">
        <v>0</v>
      </c>
      <c r="P130" s="3">
        <v>161.83000000000001</v>
      </c>
      <c r="Q130" s="3">
        <v>0</v>
      </c>
      <c r="R130" s="3">
        <v>0</v>
      </c>
      <c r="S130" s="3">
        <v>104.46599999999999</v>
      </c>
      <c r="T130" s="3">
        <v>15.6699</v>
      </c>
      <c r="U130" s="3">
        <v>30.29514</v>
      </c>
      <c r="V130" s="3">
        <v>189.60104000000001</v>
      </c>
      <c r="W130" s="3">
        <v>522.33000000000004</v>
      </c>
      <c r="X130" s="3">
        <v>0</v>
      </c>
      <c r="Y130" s="3">
        <v>0</v>
      </c>
      <c r="Z130" s="3">
        <v>0</v>
      </c>
      <c r="AA130" s="3">
        <v>0</v>
      </c>
      <c r="AB130" s="13">
        <f t="shared" ref="AB130:AB153" si="37">(N130+O130)-(AE130+AF130)</f>
        <v>0</v>
      </c>
      <c r="AC130" s="13">
        <f t="shared" ref="AC130:AC153" si="38">(P130+Q130)-(AG130+AH130)</f>
        <v>0</v>
      </c>
      <c r="AD130" s="63" t="s">
        <v>164</v>
      </c>
      <c r="AE130" s="64">
        <v>2068.35</v>
      </c>
      <c r="AF130" s="64">
        <v>0</v>
      </c>
      <c r="AG130" s="64">
        <v>161.83000000000001</v>
      </c>
      <c r="AH130" s="64">
        <v>0</v>
      </c>
      <c r="AI130" s="13">
        <f t="shared" si="33"/>
        <v>0</v>
      </c>
      <c r="AJ130" s="13">
        <f t="shared" si="34"/>
        <v>7.9999999999813554E-3</v>
      </c>
      <c r="AK130" t="s">
        <v>164</v>
      </c>
      <c r="AL130" s="70">
        <v>2068.35</v>
      </c>
      <c r="AM130">
        <v>165.46</v>
      </c>
    </row>
    <row r="131" spans="1:43" ht="15" customHeight="1">
      <c r="A131" s="2" t="s">
        <v>165</v>
      </c>
      <c r="B131" s="2" t="s">
        <v>123</v>
      </c>
      <c r="C131" s="2" t="s">
        <v>33</v>
      </c>
      <c r="D131" s="2" t="s">
        <v>29</v>
      </c>
      <c r="E131" s="5">
        <v>2238.56</v>
      </c>
      <c r="F131" s="126">
        <v>0</v>
      </c>
      <c r="G131" s="126"/>
      <c r="H131" s="10">
        <v>0</v>
      </c>
      <c r="I131" s="3">
        <v>0</v>
      </c>
      <c r="J131" s="3">
        <v>179.0848</v>
      </c>
      <c r="K131" s="3">
        <v>0</v>
      </c>
      <c r="L131" s="3">
        <v>0</v>
      </c>
      <c r="M131" s="3">
        <v>0</v>
      </c>
      <c r="N131" s="3">
        <v>2238.56</v>
      </c>
      <c r="O131" s="3">
        <v>0</v>
      </c>
      <c r="P131" s="3">
        <v>177.15</v>
      </c>
      <c r="Q131" s="3">
        <v>0</v>
      </c>
      <c r="R131" s="3">
        <v>0</v>
      </c>
      <c r="S131" s="3">
        <v>413.67</v>
      </c>
      <c r="T131" s="3">
        <v>62.0505</v>
      </c>
      <c r="U131" s="3">
        <v>119.96429999999999</v>
      </c>
      <c r="V131" s="3">
        <v>757.51480000000004</v>
      </c>
      <c r="W131" s="3">
        <v>2068.35</v>
      </c>
      <c r="X131" s="3">
        <v>0</v>
      </c>
      <c r="Y131" s="3">
        <v>0</v>
      </c>
      <c r="Z131" s="3">
        <v>0</v>
      </c>
      <c r="AA131" s="3">
        <v>0</v>
      </c>
      <c r="AB131" s="13">
        <f t="shared" si="37"/>
        <v>0</v>
      </c>
      <c r="AC131" s="13">
        <f t="shared" si="38"/>
        <v>0</v>
      </c>
      <c r="AD131" s="61" t="s">
        <v>165</v>
      </c>
      <c r="AE131" s="62">
        <v>2238.56</v>
      </c>
      <c r="AF131" s="62">
        <v>0</v>
      </c>
      <c r="AG131" s="62">
        <v>177.15</v>
      </c>
      <c r="AH131" s="62">
        <v>0</v>
      </c>
      <c r="AI131" s="13">
        <f t="shared" si="33"/>
        <v>0</v>
      </c>
      <c r="AJ131" s="13">
        <f t="shared" si="34"/>
        <v>4.7999999999888132E-3</v>
      </c>
      <c r="AK131" t="s">
        <v>165</v>
      </c>
      <c r="AL131" s="70">
        <v>2238.56</v>
      </c>
      <c r="AM131">
        <v>179.08</v>
      </c>
    </row>
    <row r="132" spans="1:43" ht="15" customHeight="1">
      <c r="A132" s="2" t="s">
        <v>166</v>
      </c>
      <c r="B132" s="2" t="s">
        <v>65</v>
      </c>
      <c r="C132" s="2" t="s">
        <v>33</v>
      </c>
      <c r="D132" s="2" t="s">
        <v>29</v>
      </c>
      <c r="E132" s="5">
        <v>2245.37</v>
      </c>
      <c r="F132" s="126">
        <v>0</v>
      </c>
      <c r="G132" s="126"/>
      <c r="H132" s="10">
        <v>0</v>
      </c>
      <c r="I132" s="3">
        <v>0</v>
      </c>
      <c r="J132" s="3">
        <v>179.62960000000001</v>
      </c>
      <c r="K132" s="3">
        <v>0</v>
      </c>
      <c r="L132" s="3">
        <v>0</v>
      </c>
      <c r="M132" s="3">
        <v>0</v>
      </c>
      <c r="N132" s="3">
        <v>2245.37</v>
      </c>
      <c r="O132" s="3">
        <v>0</v>
      </c>
      <c r="P132" s="3">
        <v>177.76</v>
      </c>
      <c r="Q132" s="3">
        <v>0</v>
      </c>
      <c r="R132" s="3">
        <v>0</v>
      </c>
      <c r="S132" s="3">
        <v>447.71199999999999</v>
      </c>
      <c r="T132" s="3">
        <v>67.156800000000004</v>
      </c>
      <c r="U132" s="3">
        <v>129.83647999999999</v>
      </c>
      <c r="V132" s="3">
        <v>821.85527999999999</v>
      </c>
      <c r="W132" s="3">
        <v>2238.56</v>
      </c>
      <c r="X132" s="3">
        <v>0</v>
      </c>
      <c r="Y132" s="3">
        <v>0</v>
      </c>
      <c r="Z132" s="3">
        <v>0</v>
      </c>
      <c r="AA132" s="3">
        <v>0</v>
      </c>
      <c r="AB132" s="13">
        <f t="shared" si="37"/>
        <v>0</v>
      </c>
      <c r="AC132" s="13">
        <f t="shared" si="38"/>
        <v>0</v>
      </c>
      <c r="AD132" s="63" t="s">
        <v>166</v>
      </c>
      <c r="AE132" s="64">
        <v>2245.37</v>
      </c>
      <c r="AF132" s="64">
        <v>0</v>
      </c>
      <c r="AG132" s="64">
        <v>177.76</v>
      </c>
      <c r="AH132" s="64">
        <v>0</v>
      </c>
      <c r="AI132" s="13">
        <f t="shared" si="33"/>
        <v>0</v>
      </c>
      <c r="AJ132" s="13">
        <f t="shared" si="34"/>
        <v>9.6000000000060481E-3</v>
      </c>
      <c r="AK132" t="s">
        <v>166</v>
      </c>
      <c r="AL132" s="70">
        <v>2245.37</v>
      </c>
      <c r="AM132">
        <v>179.62</v>
      </c>
    </row>
    <row r="133" spans="1:43" ht="15" customHeight="1">
      <c r="A133" s="71" t="s">
        <v>167</v>
      </c>
      <c r="B133" s="71" t="s">
        <v>40</v>
      </c>
      <c r="C133" s="71" t="s">
        <v>28</v>
      </c>
      <c r="D133" s="71" t="s">
        <v>29</v>
      </c>
      <c r="E133" s="72">
        <v>1647.55</v>
      </c>
      <c r="F133" s="127">
        <v>0</v>
      </c>
      <c r="G133" s="127"/>
      <c r="H133" s="74">
        <v>0</v>
      </c>
      <c r="I133" s="73">
        <v>769.47</v>
      </c>
      <c r="J133" s="73">
        <v>131.804</v>
      </c>
      <c r="K133" s="73">
        <v>0</v>
      </c>
      <c r="L133" s="73">
        <v>0</v>
      </c>
      <c r="M133" s="73">
        <v>61.557600000000001</v>
      </c>
      <c r="N133" s="73">
        <v>1647.55</v>
      </c>
      <c r="O133" s="73">
        <v>769.47</v>
      </c>
      <c r="P133" s="73">
        <v>123.95</v>
      </c>
      <c r="Q133" s="73">
        <v>57.71</v>
      </c>
      <c r="R133" s="73">
        <v>0</v>
      </c>
      <c r="S133" s="3">
        <v>449.07400000000001</v>
      </c>
      <c r="T133" s="3">
        <v>67.361099999999993</v>
      </c>
      <c r="U133" s="3">
        <v>130.23146</v>
      </c>
      <c r="V133" s="3">
        <v>824.42655999999999</v>
      </c>
      <c r="W133" s="3">
        <v>2245.37</v>
      </c>
      <c r="X133" s="3">
        <v>0</v>
      </c>
      <c r="Y133" s="3">
        <v>0</v>
      </c>
      <c r="Z133" s="3">
        <v>0</v>
      </c>
      <c r="AA133" s="3">
        <v>0</v>
      </c>
      <c r="AB133" s="13">
        <f t="shared" si="37"/>
        <v>0</v>
      </c>
      <c r="AC133" s="13">
        <f t="shared" si="38"/>
        <v>0</v>
      </c>
      <c r="AD133" s="61" t="s">
        <v>167</v>
      </c>
      <c r="AE133" s="62">
        <v>1647.55</v>
      </c>
      <c r="AF133" s="62">
        <v>769.47</v>
      </c>
      <c r="AG133" s="62">
        <v>123.95</v>
      </c>
      <c r="AH133" s="62">
        <v>57.71</v>
      </c>
      <c r="AI133" s="13">
        <f t="shared" ref="AI133:AI135" si="39">(E133+F133+H133+I133)-AL133</f>
        <v>2417.02</v>
      </c>
      <c r="AJ133" s="13">
        <f t="shared" ref="AJ133:AJ135" si="40">(J133+K133+L133+M133)-AM133</f>
        <v>193.36160000000001</v>
      </c>
      <c r="AL133" s="70"/>
      <c r="AN133" s="13"/>
      <c r="AO133" s="13"/>
      <c r="AQ133" s="70"/>
    </row>
    <row r="134" spans="1:43" ht="15" customHeight="1">
      <c r="A134" s="71" t="s">
        <v>168</v>
      </c>
      <c r="B134" s="71" t="s">
        <v>27</v>
      </c>
      <c r="C134" s="71" t="s">
        <v>28</v>
      </c>
      <c r="D134" s="71" t="s">
        <v>29</v>
      </c>
      <c r="E134" s="72">
        <v>2484.7600000000002</v>
      </c>
      <c r="F134" s="127">
        <v>864.99</v>
      </c>
      <c r="G134" s="127"/>
      <c r="H134" s="74">
        <v>0</v>
      </c>
      <c r="I134" s="73">
        <v>943.75</v>
      </c>
      <c r="J134" s="73">
        <v>198.7808</v>
      </c>
      <c r="K134" s="73">
        <v>69.199200000000005</v>
      </c>
      <c r="L134" s="73">
        <v>0</v>
      </c>
      <c r="M134" s="73">
        <v>75.5</v>
      </c>
      <c r="N134" s="73">
        <v>2484.7600000000002</v>
      </c>
      <c r="O134" s="73">
        <v>943.75</v>
      </c>
      <c r="P134" s="73">
        <v>199.3</v>
      </c>
      <c r="Q134" s="73">
        <v>70.78</v>
      </c>
      <c r="R134" s="73">
        <v>0</v>
      </c>
      <c r="S134" s="3">
        <v>483.404</v>
      </c>
      <c r="T134" s="3">
        <v>72.510599999999997</v>
      </c>
      <c r="U134" s="3">
        <v>140.18716000000001</v>
      </c>
      <c r="V134" s="3">
        <v>877.76175999999998</v>
      </c>
      <c r="W134" s="3">
        <v>1647.55</v>
      </c>
      <c r="X134" s="3">
        <v>0</v>
      </c>
      <c r="Y134" s="3">
        <v>0</v>
      </c>
      <c r="Z134" s="3">
        <v>0</v>
      </c>
      <c r="AA134" s="3">
        <v>0</v>
      </c>
      <c r="AB134" s="13">
        <f t="shared" si="37"/>
        <v>0</v>
      </c>
      <c r="AC134" s="13">
        <f t="shared" si="38"/>
        <v>0</v>
      </c>
      <c r="AD134" s="59" t="s">
        <v>168</v>
      </c>
      <c r="AE134" s="60">
        <v>2484.7600000000002</v>
      </c>
      <c r="AF134" s="60">
        <v>943.75</v>
      </c>
      <c r="AG134" s="60">
        <v>199.3</v>
      </c>
      <c r="AH134" s="60">
        <v>70.78</v>
      </c>
      <c r="AI134" s="13">
        <f t="shared" si="39"/>
        <v>4293.5</v>
      </c>
      <c r="AJ134" s="13">
        <f t="shared" si="40"/>
        <v>343.48</v>
      </c>
      <c r="AK134" s="69"/>
      <c r="AL134" s="69"/>
      <c r="AM134" s="69"/>
    </row>
    <row r="135" spans="1:43" ht="15" customHeight="1">
      <c r="A135" s="2" t="s">
        <v>169</v>
      </c>
      <c r="B135" s="2" t="s">
        <v>55</v>
      </c>
      <c r="C135" s="2" t="s">
        <v>33</v>
      </c>
      <c r="D135" s="2" t="s">
        <v>29</v>
      </c>
      <c r="E135" s="5">
        <v>2023.23</v>
      </c>
      <c r="F135" s="126">
        <v>0</v>
      </c>
      <c r="G135" s="126"/>
      <c r="H135" s="10">
        <v>0</v>
      </c>
      <c r="I135" s="3">
        <v>0</v>
      </c>
      <c r="J135" s="3">
        <v>161.85839999999999</v>
      </c>
      <c r="K135" s="3">
        <v>0</v>
      </c>
      <c r="L135" s="3">
        <v>0</v>
      </c>
      <c r="M135" s="3">
        <v>0</v>
      </c>
      <c r="N135" s="3">
        <v>2023.23</v>
      </c>
      <c r="O135" s="3">
        <v>0</v>
      </c>
      <c r="P135" s="3">
        <v>157.77000000000001</v>
      </c>
      <c r="Q135" s="3">
        <v>0</v>
      </c>
      <c r="R135" s="3">
        <v>0</v>
      </c>
      <c r="S135" s="3">
        <v>685.702</v>
      </c>
      <c r="T135" s="3">
        <v>102.8553</v>
      </c>
      <c r="U135" s="3">
        <v>198.85357999999999</v>
      </c>
      <c r="V135" s="3">
        <v>1257.4908800000001</v>
      </c>
      <c r="W135" s="3">
        <v>2484.7600000000002</v>
      </c>
      <c r="X135" s="3">
        <v>0</v>
      </c>
      <c r="Y135" s="3">
        <v>0</v>
      </c>
      <c r="Z135" s="3">
        <v>0</v>
      </c>
      <c r="AA135" s="3">
        <v>0</v>
      </c>
      <c r="AB135" s="13">
        <f t="shared" si="37"/>
        <v>0</v>
      </c>
      <c r="AC135" s="13">
        <f t="shared" si="38"/>
        <v>0</v>
      </c>
      <c r="AD135" s="65" t="s">
        <v>169</v>
      </c>
      <c r="AE135" s="66">
        <v>2023.23</v>
      </c>
      <c r="AF135" s="66">
        <v>0</v>
      </c>
      <c r="AG135" s="66">
        <v>157.77000000000001</v>
      </c>
      <c r="AH135" s="66">
        <v>0</v>
      </c>
      <c r="AI135" s="13">
        <f t="shared" si="39"/>
        <v>0</v>
      </c>
      <c r="AJ135" s="13">
        <f t="shared" si="40"/>
        <v>8.399999999994634E-3</v>
      </c>
      <c r="AK135" t="s">
        <v>169</v>
      </c>
      <c r="AL135" s="70">
        <v>2023.23</v>
      </c>
      <c r="AM135">
        <v>161.85</v>
      </c>
    </row>
    <row r="136" spans="1:43" ht="15" customHeight="1">
      <c r="A136" s="2" t="s">
        <v>170</v>
      </c>
      <c r="B136" s="2" t="s">
        <v>40</v>
      </c>
      <c r="C136" s="2" t="s">
        <v>33</v>
      </c>
      <c r="D136" s="2" t="s">
        <v>29</v>
      </c>
      <c r="E136" s="5">
        <v>1958.74</v>
      </c>
      <c r="F136" s="126">
        <v>0</v>
      </c>
      <c r="G136" s="126"/>
      <c r="H136" s="10">
        <v>0</v>
      </c>
      <c r="I136" s="3">
        <v>0</v>
      </c>
      <c r="J136" s="3">
        <v>156.69919999999999</v>
      </c>
      <c r="K136" s="3">
        <v>0</v>
      </c>
      <c r="L136" s="3">
        <v>0</v>
      </c>
      <c r="M136" s="3">
        <v>0</v>
      </c>
      <c r="N136" s="3">
        <v>1958.74</v>
      </c>
      <c r="O136" s="3">
        <v>0</v>
      </c>
      <c r="P136" s="3">
        <v>151.96</v>
      </c>
      <c r="Q136" s="3">
        <v>0</v>
      </c>
      <c r="R136" s="3">
        <v>0</v>
      </c>
      <c r="S136" s="3">
        <v>404.64600000000002</v>
      </c>
      <c r="T136" s="3">
        <v>60.696899999999999</v>
      </c>
      <c r="U136" s="3">
        <v>117.34734</v>
      </c>
      <c r="V136" s="3">
        <v>740.46024</v>
      </c>
      <c r="W136" s="3">
        <v>2023.23</v>
      </c>
      <c r="X136" s="3">
        <v>0</v>
      </c>
      <c r="Y136" s="3">
        <v>0</v>
      </c>
      <c r="Z136" s="3">
        <v>0</v>
      </c>
      <c r="AA136" s="3">
        <v>0</v>
      </c>
      <c r="AB136" s="13">
        <f t="shared" si="37"/>
        <v>0</v>
      </c>
      <c r="AC136" s="13">
        <f t="shared" si="38"/>
        <v>0</v>
      </c>
      <c r="AD136" s="63" t="s">
        <v>170</v>
      </c>
      <c r="AE136" s="64">
        <v>1958.74</v>
      </c>
      <c r="AF136" s="64">
        <v>0</v>
      </c>
      <c r="AG136" s="64">
        <v>151.96</v>
      </c>
      <c r="AH136" s="64">
        <v>0</v>
      </c>
      <c r="AI136" s="13">
        <f t="shared" ref="AI136:AI149" si="41">(E136+F136+H136+I136)-AL136</f>
        <v>0</v>
      </c>
      <c r="AJ136" s="13">
        <f t="shared" ref="AJ136:AJ149" si="42">(J136+K136+L136+M136)-AM136</f>
        <v>9.1999999999927695E-3</v>
      </c>
      <c r="AK136" t="s">
        <v>170</v>
      </c>
      <c r="AL136" s="70">
        <v>1958.74</v>
      </c>
      <c r="AM136">
        <v>156.69</v>
      </c>
    </row>
    <row r="137" spans="1:43" ht="15" customHeight="1">
      <c r="A137" s="2" t="s">
        <v>171</v>
      </c>
      <c r="B137" s="2" t="s">
        <v>35</v>
      </c>
      <c r="C137" s="2" t="s">
        <v>33</v>
      </c>
      <c r="D137" s="2" t="s">
        <v>29</v>
      </c>
      <c r="E137" s="5">
        <v>3613.16</v>
      </c>
      <c r="F137" s="126">
        <v>0</v>
      </c>
      <c r="G137" s="126"/>
      <c r="H137" s="10">
        <v>0</v>
      </c>
      <c r="I137" s="3">
        <v>0</v>
      </c>
      <c r="J137" s="3">
        <v>289.05279999999999</v>
      </c>
      <c r="K137" s="3">
        <v>0</v>
      </c>
      <c r="L137" s="3">
        <v>0</v>
      </c>
      <c r="M137" s="3">
        <v>0</v>
      </c>
      <c r="N137" s="3">
        <v>3613.16</v>
      </c>
      <c r="O137" s="3">
        <v>0</v>
      </c>
      <c r="P137" s="3">
        <v>322.16000000000003</v>
      </c>
      <c r="Q137" s="3">
        <v>0</v>
      </c>
      <c r="R137" s="3">
        <v>0</v>
      </c>
      <c r="S137" s="3">
        <v>391.74799999999999</v>
      </c>
      <c r="T137" s="3">
        <v>58.7622</v>
      </c>
      <c r="U137" s="3">
        <v>113.60692</v>
      </c>
      <c r="V137" s="3">
        <v>716.07712000000004</v>
      </c>
      <c r="W137" s="3">
        <v>1958.74</v>
      </c>
      <c r="X137" s="3">
        <v>0</v>
      </c>
      <c r="Y137" s="3">
        <v>0</v>
      </c>
      <c r="Z137" s="3">
        <v>0</v>
      </c>
      <c r="AA137" s="3">
        <v>0</v>
      </c>
      <c r="AB137" s="13">
        <f t="shared" si="37"/>
        <v>0</v>
      </c>
      <c r="AC137" s="13">
        <f t="shared" si="38"/>
        <v>0</v>
      </c>
      <c r="AD137" s="65" t="s">
        <v>171</v>
      </c>
      <c r="AE137" s="66">
        <v>3613.16</v>
      </c>
      <c r="AF137" s="66">
        <v>0</v>
      </c>
      <c r="AG137" s="66">
        <v>322.16000000000003</v>
      </c>
      <c r="AH137" s="66">
        <v>0</v>
      </c>
      <c r="AI137" s="13">
        <f t="shared" si="41"/>
        <v>0</v>
      </c>
      <c r="AJ137" s="13">
        <f t="shared" si="42"/>
        <v>2.7999999999792635E-3</v>
      </c>
      <c r="AK137" t="s">
        <v>171</v>
      </c>
      <c r="AL137" s="70">
        <v>3613.16</v>
      </c>
      <c r="AM137">
        <v>289.05</v>
      </c>
    </row>
    <row r="138" spans="1:43" ht="15" customHeight="1">
      <c r="A138" s="2" t="s">
        <v>172</v>
      </c>
      <c r="B138" s="2" t="s">
        <v>35</v>
      </c>
      <c r="C138" s="2" t="s">
        <v>33</v>
      </c>
      <c r="D138" s="2" t="s">
        <v>29</v>
      </c>
      <c r="E138" s="5">
        <v>3087.77</v>
      </c>
      <c r="F138" s="126">
        <v>0</v>
      </c>
      <c r="G138" s="126"/>
      <c r="H138" s="10">
        <v>0</v>
      </c>
      <c r="I138" s="3">
        <v>0</v>
      </c>
      <c r="J138" s="3">
        <v>247.02160000000001</v>
      </c>
      <c r="K138" s="3">
        <v>0</v>
      </c>
      <c r="L138" s="3">
        <v>0</v>
      </c>
      <c r="M138" s="3">
        <v>0</v>
      </c>
      <c r="N138" s="3">
        <v>3087.77</v>
      </c>
      <c r="O138" s="3">
        <v>0</v>
      </c>
      <c r="P138" s="3">
        <v>259.12</v>
      </c>
      <c r="Q138" s="3">
        <v>0</v>
      </c>
      <c r="R138" s="3">
        <v>0</v>
      </c>
      <c r="S138" s="3">
        <v>722.63199999999995</v>
      </c>
      <c r="T138" s="3">
        <v>108.3948</v>
      </c>
      <c r="U138" s="3">
        <v>209.56327999999999</v>
      </c>
      <c r="V138" s="3">
        <v>1362.75008</v>
      </c>
      <c r="W138" s="3">
        <v>3613.16</v>
      </c>
      <c r="X138" s="3">
        <v>0</v>
      </c>
      <c r="Y138" s="3">
        <v>0</v>
      </c>
      <c r="Z138" s="3">
        <v>0</v>
      </c>
      <c r="AA138" s="3">
        <v>0</v>
      </c>
      <c r="AB138" s="13">
        <f t="shared" si="37"/>
        <v>0</v>
      </c>
      <c r="AC138" s="13">
        <f t="shared" si="38"/>
        <v>0</v>
      </c>
      <c r="AD138" s="59" t="s">
        <v>172</v>
      </c>
      <c r="AE138" s="60">
        <v>3087.77</v>
      </c>
      <c r="AF138" s="60">
        <v>0</v>
      </c>
      <c r="AG138" s="60">
        <v>259.12</v>
      </c>
      <c r="AH138" s="60">
        <v>0</v>
      </c>
      <c r="AI138" s="13">
        <f t="shared" si="41"/>
        <v>0</v>
      </c>
      <c r="AJ138" s="13">
        <f t="shared" si="42"/>
        <v>1.5999999999962711E-3</v>
      </c>
      <c r="AK138" t="s">
        <v>172</v>
      </c>
      <c r="AL138" s="70">
        <v>3087.77</v>
      </c>
      <c r="AM138">
        <v>247.02</v>
      </c>
    </row>
    <row r="139" spans="1:43" ht="15" customHeight="1">
      <c r="A139" s="2" t="s">
        <v>173</v>
      </c>
      <c r="B139" s="2" t="s">
        <v>35</v>
      </c>
      <c r="C139" s="2" t="s">
        <v>33</v>
      </c>
      <c r="D139" s="2" t="s">
        <v>29</v>
      </c>
      <c r="E139" s="5">
        <v>3538.57</v>
      </c>
      <c r="F139" s="126">
        <v>0</v>
      </c>
      <c r="G139" s="126"/>
      <c r="H139" s="10">
        <v>0</v>
      </c>
      <c r="I139" s="3">
        <v>0</v>
      </c>
      <c r="J139" s="3">
        <v>283.0856</v>
      </c>
      <c r="K139" s="3">
        <v>0</v>
      </c>
      <c r="L139" s="3">
        <v>0</v>
      </c>
      <c r="M139" s="3">
        <v>0</v>
      </c>
      <c r="N139" s="3">
        <v>3538.57</v>
      </c>
      <c r="O139" s="3">
        <v>0</v>
      </c>
      <c r="P139" s="3">
        <v>313.20999999999998</v>
      </c>
      <c r="Q139" s="3">
        <v>0</v>
      </c>
      <c r="R139" s="3">
        <v>0</v>
      </c>
      <c r="S139" s="3">
        <v>617.55399999999997</v>
      </c>
      <c r="T139" s="3">
        <v>92.633099999999999</v>
      </c>
      <c r="U139" s="3">
        <v>179.09066000000001</v>
      </c>
      <c r="V139" s="3">
        <v>1148.3977600000001</v>
      </c>
      <c r="W139" s="3">
        <v>3087.77</v>
      </c>
      <c r="X139" s="3">
        <v>0</v>
      </c>
      <c r="Y139" s="3">
        <v>0</v>
      </c>
      <c r="Z139" s="3">
        <v>0</v>
      </c>
      <c r="AA139" s="3">
        <v>0</v>
      </c>
      <c r="AB139" s="13">
        <f t="shared" si="37"/>
        <v>0</v>
      </c>
      <c r="AC139" s="13">
        <f t="shared" si="38"/>
        <v>0</v>
      </c>
      <c r="AD139" s="61" t="s">
        <v>173</v>
      </c>
      <c r="AE139" s="62">
        <v>3538.57</v>
      </c>
      <c r="AF139" s="62">
        <v>0</v>
      </c>
      <c r="AG139" s="62">
        <v>313.20999999999998</v>
      </c>
      <c r="AH139" s="62">
        <v>0</v>
      </c>
      <c r="AI139" s="13">
        <f t="shared" si="41"/>
        <v>0</v>
      </c>
      <c r="AJ139" s="13">
        <f t="shared" si="42"/>
        <v>5.6000000000153705E-3</v>
      </c>
      <c r="AK139" t="s">
        <v>173</v>
      </c>
      <c r="AL139" s="70">
        <v>3538.57</v>
      </c>
      <c r="AM139">
        <v>283.08</v>
      </c>
    </row>
    <row r="140" spans="1:43" ht="15" customHeight="1">
      <c r="A140" s="71" t="s">
        <v>174</v>
      </c>
      <c r="B140" s="71" t="s">
        <v>44</v>
      </c>
      <c r="C140" s="71" t="s">
        <v>28</v>
      </c>
      <c r="D140" s="71" t="s">
        <v>29</v>
      </c>
      <c r="E140" s="72">
        <v>430.48</v>
      </c>
      <c r="F140" s="127">
        <v>0</v>
      </c>
      <c r="G140" s="127"/>
      <c r="H140" s="74">
        <v>0</v>
      </c>
      <c r="I140" s="73">
        <v>376.56</v>
      </c>
      <c r="J140" s="73">
        <v>34.438400000000001</v>
      </c>
      <c r="K140" s="73">
        <v>0</v>
      </c>
      <c r="L140" s="73">
        <v>0</v>
      </c>
      <c r="M140" s="73">
        <v>30.1248</v>
      </c>
      <c r="N140" s="73">
        <v>430.48</v>
      </c>
      <c r="O140" s="73">
        <v>376.56</v>
      </c>
      <c r="P140" s="73">
        <v>32.28</v>
      </c>
      <c r="Q140" s="73">
        <v>28.24</v>
      </c>
      <c r="R140" s="73">
        <v>0</v>
      </c>
      <c r="S140" s="3">
        <v>707.71400000000006</v>
      </c>
      <c r="T140" s="3">
        <v>106.1571</v>
      </c>
      <c r="U140" s="3">
        <v>205.23706000000001</v>
      </c>
      <c r="V140" s="3">
        <v>1332.31816</v>
      </c>
      <c r="W140" s="3">
        <v>3538.57</v>
      </c>
      <c r="X140" s="3">
        <v>0</v>
      </c>
      <c r="Y140" s="3">
        <v>0</v>
      </c>
      <c r="Z140" s="3">
        <v>0</v>
      </c>
      <c r="AA140" s="3">
        <v>0</v>
      </c>
      <c r="AB140" s="13">
        <f t="shared" si="37"/>
        <v>0</v>
      </c>
      <c r="AC140" s="13">
        <f t="shared" si="38"/>
        <v>0</v>
      </c>
      <c r="AD140" s="63" t="s">
        <v>174</v>
      </c>
      <c r="AE140" s="64">
        <v>430.48</v>
      </c>
      <c r="AF140" s="64">
        <v>376.56</v>
      </c>
      <c r="AG140" s="64">
        <v>32.28</v>
      </c>
      <c r="AH140" s="64">
        <v>28.24</v>
      </c>
      <c r="AI140" s="13">
        <f t="shared" si="41"/>
        <v>0</v>
      </c>
      <c r="AJ140" s="13">
        <f t="shared" si="42"/>
        <v>1.3199999999997658E-2</v>
      </c>
      <c r="AK140" t="s">
        <v>174</v>
      </c>
      <c r="AL140">
        <v>807.04</v>
      </c>
      <c r="AM140">
        <v>64.55</v>
      </c>
    </row>
    <row r="141" spans="1:43" ht="15" customHeight="1">
      <c r="A141" s="2" t="s">
        <v>175</v>
      </c>
      <c r="B141" s="2" t="s">
        <v>38</v>
      </c>
      <c r="C141" s="2" t="s">
        <v>33</v>
      </c>
      <c r="D141" s="2" t="s">
        <v>29</v>
      </c>
      <c r="E141" s="5">
        <v>529.24</v>
      </c>
      <c r="F141" s="126">
        <v>0</v>
      </c>
      <c r="G141" s="126"/>
      <c r="H141" s="10">
        <v>0</v>
      </c>
      <c r="I141" s="3">
        <v>0</v>
      </c>
      <c r="J141" s="3">
        <v>42.339199999999998</v>
      </c>
      <c r="K141" s="3">
        <v>0</v>
      </c>
      <c r="L141" s="3">
        <v>0</v>
      </c>
      <c r="M141" s="3">
        <v>0</v>
      </c>
      <c r="N141" s="3">
        <v>529.24</v>
      </c>
      <c r="O141" s="3">
        <v>0</v>
      </c>
      <c r="P141" s="3">
        <v>39.69</v>
      </c>
      <c r="Q141" s="3">
        <v>0</v>
      </c>
      <c r="R141" s="3">
        <v>0</v>
      </c>
      <c r="S141" s="3">
        <v>161.40799999999999</v>
      </c>
      <c r="T141" s="3">
        <v>24.211200000000002</v>
      </c>
      <c r="U141" s="3">
        <v>46.808320000000002</v>
      </c>
      <c r="V141" s="3">
        <v>292.94752</v>
      </c>
      <c r="W141" s="3">
        <v>430.48</v>
      </c>
      <c r="X141" s="3">
        <v>0</v>
      </c>
      <c r="Y141" s="3">
        <v>0</v>
      </c>
      <c r="Z141" s="3">
        <v>0</v>
      </c>
      <c r="AA141" s="3">
        <v>0</v>
      </c>
      <c r="AB141" s="13">
        <f t="shared" si="37"/>
        <v>0</v>
      </c>
      <c r="AC141" s="13">
        <f t="shared" si="38"/>
        <v>0</v>
      </c>
      <c r="AD141" s="61" t="s">
        <v>175</v>
      </c>
      <c r="AE141" s="62">
        <v>529.24</v>
      </c>
      <c r="AF141" s="62">
        <v>0</v>
      </c>
      <c r="AG141" s="62">
        <v>39.69</v>
      </c>
      <c r="AH141" s="62">
        <v>0</v>
      </c>
      <c r="AI141" s="13">
        <f t="shared" si="41"/>
        <v>0</v>
      </c>
      <c r="AJ141" s="13">
        <f t="shared" si="42"/>
        <v>9.1999999999998749E-3</v>
      </c>
      <c r="AK141" t="s">
        <v>175</v>
      </c>
      <c r="AL141">
        <v>529.24</v>
      </c>
      <c r="AM141">
        <v>42.33</v>
      </c>
    </row>
    <row r="142" spans="1:43" ht="15" customHeight="1">
      <c r="A142" s="2" t="s">
        <v>176</v>
      </c>
      <c r="B142" s="2" t="s">
        <v>50</v>
      </c>
      <c r="C142" s="2" t="s">
        <v>33</v>
      </c>
      <c r="D142" s="2" t="s">
        <v>29</v>
      </c>
      <c r="E142" s="5">
        <v>1996.28</v>
      </c>
      <c r="F142" s="126">
        <v>0</v>
      </c>
      <c r="G142" s="126"/>
      <c r="H142" s="10">
        <v>0</v>
      </c>
      <c r="I142" s="3">
        <v>0</v>
      </c>
      <c r="J142" s="3">
        <v>159.70240000000001</v>
      </c>
      <c r="K142" s="3">
        <v>0</v>
      </c>
      <c r="L142" s="3">
        <v>0</v>
      </c>
      <c r="M142" s="3">
        <v>0</v>
      </c>
      <c r="N142" s="3">
        <v>1996.28</v>
      </c>
      <c r="O142" s="3">
        <v>0</v>
      </c>
      <c r="P142" s="3">
        <v>155.34</v>
      </c>
      <c r="Q142" s="3">
        <v>0</v>
      </c>
      <c r="R142" s="3">
        <v>0</v>
      </c>
      <c r="S142" s="3">
        <v>105.848</v>
      </c>
      <c r="T142" s="3">
        <v>15.8772</v>
      </c>
      <c r="U142" s="3">
        <v>30.695920000000001</v>
      </c>
      <c r="V142" s="3">
        <v>192.11112</v>
      </c>
      <c r="W142" s="3">
        <v>529.24</v>
      </c>
      <c r="X142" s="3">
        <v>0</v>
      </c>
      <c r="Y142" s="3">
        <v>0</v>
      </c>
      <c r="Z142" s="3">
        <v>0</v>
      </c>
      <c r="AA142" s="3">
        <v>0</v>
      </c>
      <c r="AB142" s="13">
        <f t="shared" si="37"/>
        <v>0</v>
      </c>
      <c r="AC142" s="13">
        <f t="shared" si="38"/>
        <v>0</v>
      </c>
      <c r="AD142" s="59" t="s">
        <v>176</v>
      </c>
      <c r="AE142" s="60">
        <v>1996.28</v>
      </c>
      <c r="AF142" s="60">
        <v>0</v>
      </c>
      <c r="AG142" s="60">
        <v>155.34</v>
      </c>
      <c r="AH142" s="60">
        <v>0</v>
      </c>
      <c r="AI142" s="13">
        <f t="shared" si="41"/>
        <v>0</v>
      </c>
      <c r="AJ142" s="13">
        <f t="shared" si="42"/>
        <v>2.4000000000228283E-3</v>
      </c>
      <c r="AK142" t="s">
        <v>176</v>
      </c>
      <c r="AL142" s="70">
        <v>1996.28</v>
      </c>
      <c r="AM142">
        <v>159.69999999999999</v>
      </c>
    </row>
    <row r="143" spans="1:43" ht="15" customHeight="1">
      <c r="A143" s="2" t="s">
        <v>177</v>
      </c>
      <c r="B143" s="2" t="s">
        <v>50</v>
      </c>
      <c r="C143" s="2" t="s">
        <v>33</v>
      </c>
      <c r="D143" s="2" t="s">
        <v>29</v>
      </c>
      <c r="E143" s="5">
        <v>1927.93</v>
      </c>
      <c r="F143" s="126">
        <v>0</v>
      </c>
      <c r="G143" s="126"/>
      <c r="H143" s="10">
        <v>0</v>
      </c>
      <c r="I143" s="3">
        <v>0</v>
      </c>
      <c r="J143" s="3">
        <v>154.23439999999999</v>
      </c>
      <c r="K143" s="3">
        <v>0</v>
      </c>
      <c r="L143" s="3">
        <v>0</v>
      </c>
      <c r="M143" s="3">
        <v>0</v>
      </c>
      <c r="N143" s="3">
        <v>1927.93</v>
      </c>
      <c r="O143" s="3">
        <v>0</v>
      </c>
      <c r="P143" s="3">
        <v>149.19</v>
      </c>
      <c r="Q143" s="3">
        <v>0</v>
      </c>
      <c r="R143" s="3">
        <v>0</v>
      </c>
      <c r="S143" s="3">
        <v>399.25599999999997</v>
      </c>
      <c r="T143" s="3">
        <v>59.888399999999997</v>
      </c>
      <c r="U143" s="3">
        <v>115.78424</v>
      </c>
      <c r="V143" s="3">
        <v>730.26864</v>
      </c>
      <c r="W143" s="3">
        <v>1996.28</v>
      </c>
      <c r="X143" s="3">
        <v>0</v>
      </c>
      <c r="Y143" s="3">
        <v>0</v>
      </c>
      <c r="Z143" s="3">
        <v>0</v>
      </c>
      <c r="AA143" s="3">
        <v>0</v>
      </c>
      <c r="AB143" s="13">
        <f t="shared" si="37"/>
        <v>0</v>
      </c>
      <c r="AC143" s="13">
        <f t="shared" si="38"/>
        <v>0</v>
      </c>
      <c r="AD143" s="65" t="s">
        <v>177</v>
      </c>
      <c r="AE143" s="66">
        <v>1927.93</v>
      </c>
      <c r="AF143" s="66">
        <v>0</v>
      </c>
      <c r="AG143" s="66">
        <v>149.19</v>
      </c>
      <c r="AH143" s="66">
        <v>0</v>
      </c>
      <c r="AI143" s="13">
        <f t="shared" si="41"/>
        <v>0</v>
      </c>
      <c r="AJ143" s="13">
        <f t="shared" si="42"/>
        <v>4.4000000000039563E-3</v>
      </c>
      <c r="AK143" t="s">
        <v>177</v>
      </c>
      <c r="AL143" s="70">
        <v>1927.93</v>
      </c>
      <c r="AM143">
        <v>154.22999999999999</v>
      </c>
    </row>
    <row r="144" spans="1:43" ht="15" customHeight="1">
      <c r="A144" s="2" t="s">
        <v>178</v>
      </c>
      <c r="B144" s="2" t="s">
        <v>42</v>
      </c>
      <c r="C144" s="2" t="s">
        <v>33</v>
      </c>
      <c r="D144" s="2" t="s">
        <v>29</v>
      </c>
      <c r="E144" s="5">
        <v>3364.44</v>
      </c>
      <c r="F144" s="126">
        <v>0</v>
      </c>
      <c r="G144" s="126"/>
      <c r="H144" s="10">
        <v>0</v>
      </c>
      <c r="I144" s="3">
        <v>0</v>
      </c>
      <c r="J144" s="3">
        <v>269.15519999999998</v>
      </c>
      <c r="K144" s="3">
        <v>0</v>
      </c>
      <c r="L144" s="3">
        <v>0</v>
      </c>
      <c r="M144" s="3">
        <v>0</v>
      </c>
      <c r="N144" s="3">
        <v>3364.44</v>
      </c>
      <c r="O144" s="3">
        <v>0</v>
      </c>
      <c r="P144" s="3">
        <v>292.32</v>
      </c>
      <c r="Q144" s="3">
        <v>0</v>
      </c>
      <c r="R144" s="3">
        <v>0</v>
      </c>
      <c r="S144" s="3">
        <v>385.58600000000001</v>
      </c>
      <c r="T144" s="3">
        <v>57.837899999999998</v>
      </c>
      <c r="U144" s="3">
        <v>111.81994</v>
      </c>
      <c r="V144" s="3">
        <v>704.43384000000003</v>
      </c>
      <c r="W144" s="3">
        <v>1927.93</v>
      </c>
      <c r="X144" s="3">
        <v>0</v>
      </c>
      <c r="Y144" s="3">
        <v>0</v>
      </c>
      <c r="Z144" s="3">
        <v>0</v>
      </c>
      <c r="AA144" s="3">
        <v>0</v>
      </c>
      <c r="AB144" s="13">
        <f t="shared" si="37"/>
        <v>0</v>
      </c>
      <c r="AC144" s="13">
        <f t="shared" si="38"/>
        <v>0</v>
      </c>
      <c r="AD144" s="63" t="s">
        <v>178</v>
      </c>
      <c r="AE144" s="64">
        <v>3364.44</v>
      </c>
      <c r="AF144" s="64">
        <v>0</v>
      </c>
      <c r="AG144" s="64">
        <v>292.32</v>
      </c>
      <c r="AH144" s="64">
        <v>0</v>
      </c>
      <c r="AI144" s="13">
        <f t="shared" si="41"/>
        <v>0</v>
      </c>
      <c r="AJ144" s="13">
        <f t="shared" si="42"/>
        <v>5.2000000000020918E-3</v>
      </c>
      <c r="AK144" t="s">
        <v>178</v>
      </c>
      <c r="AL144" s="70">
        <v>3364.44</v>
      </c>
      <c r="AM144">
        <v>269.14999999999998</v>
      </c>
    </row>
    <row r="145" spans="1:39" ht="15" customHeight="1">
      <c r="A145" s="2" t="s">
        <v>179</v>
      </c>
      <c r="B145" s="2" t="s">
        <v>65</v>
      </c>
      <c r="C145" s="2" t="s">
        <v>33</v>
      </c>
      <c r="D145" s="2" t="s">
        <v>29</v>
      </c>
      <c r="E145" s="5">
        <v>2100.46</v>
      </c>
      <c r="F145" s="126">
        <v>0</v>
      </c>
      <c r="G145" s="126"/>
      <c r="H145" s="10">
        <v>0</v>
      </c>
      <c r="I145" s="3">
        <v>0</v>
      </c>
      <c r="J145" s="3">
        <v>168.0368</v>
      </c>
      <c r="K145" s="3">
        <v>0</v>
      </c>
      <c r="L145" s="3">
        <v>0</v>
      </c>
      <c r="M145" s="3">
        <v>0</v>
      </c>
      <c r="N145" s="3">
        <v>2100.46</v>
      </c>
      <c r="O145" s="3">
        <v>0</v>
      </c>
      <c r="P145" s="3">
        <v>164.72</v>
      </c>
      <c r="Q145" s="3">
        <v>0</v>
      </c>
      <c r="R145" s="3">
        <v>0</v>
      </c>
      <c r="S145" s="3">
        <v>672.88800000000003</v>
      </c>
      <c r="T145" s="3">
        <v>100.9332</v>
      </c>
      <c r="U145" s="3">
        <v>195.13751999999999</v>
      </c>
      <c r="V145" s="3">
        <v>1261.27872</v>
      </c>
      <c r="W145" s="3">
        <v>3364.44</v>
      </c>
      <c r="X145" s="3">
        <v>0</v>
      </c>
      <c r="Y145" s="3">
        <v>0</v>
      </c>
      <c r="Z145" s="3">
        <v>0</v>
      </c>
      <c r="AA145" s="3">
        <v>0</v>
      </c>
      <c r="AB145" s="13">
        <f t="shared" si="37"/>
        <v>0</v>
      </c>
      <c r="AC145" s="13">
        <f t="shared" si="38"/>
        <v>0</v>
      </c>
      <c r="AD145" s="65" t="s">
        <v>179</v>
      </c>
      <c r="AE145" s="66">
        <v>2100.46</v>
      </c>
      <c r="AF145" s="66">
        <v>0</v>
      </c>
      <c r="AG145" s="66">
        <v>164.72</v>
      </c>
      <c r="AH145" s="66">
        <v>0</v>
      </c>
      <c r="AI145" s="13">
        <f t="shared" si="41"/>
        <v>0</v>
      </c>
      <c r="AJ145" s="13">
        <f t="shared" si="42"/>
        <v>6.7999999999983629E-3</v>
      </c>
      <c r="AK145" t="s">
        <v>179</v>
      </c>
      <c r="AL145" s="70">
        <v>2100.46</v>
      </c>
      <c r="AM145">
        <v>168.03</v>
      </c>
    </row>
    <row r="146" spans="1:39" ht="15" customHeight="1">
      <c r="A146" s="2" t="s">
        <v>180</v>
      </c>
      <c r="B146" s="2" t="s">
        <v>40</v>
      </c>
      <c r="C146" s="2" t="s">
        <v>33</v>
      </c>
      <c r="D146" s="2" t="s">
        <v>29</v>
      </c>
      <c r="E146" s="5">
        <v>1997.75</v>
      </c>
      <c r="F146" s="126">
        <v>0</v>
      </c>
      <c r="G146" s="126"/>
      <c r="H146" s="10">
        <v>0</v>
      </c>
      <c r="I146" s="3">
        <v>0</v>
      </c>
      <c r="J146" s="3">
        <v>159.82</v>
      </c>
      <c r="K146" s="3">
        <v>0</v>
      </c>
      <c r="L146" s="3">
        <v>0</v>
      </c>
      <c r="M146" s="3">
        <v>0</v>
      </c>
      <c r="N146" s="3">
        <v>1997.75</v>
      </c>
      <c r="O146" s="3">
        <v>0</v>
      </c>
      <c r="P146" s="3">
        <v>155.47</v>
      </c>
      <c r="Q146" s="3">
        <v>0</v>
      </c>
      <c r="R146" s="3">
        <v>0</v>
      </c>
      <c r="S146" s="3">
        <v>420.09199999999998</v>
      </c>
      <c r="T146" s="3">
        <v>63.013800000000003</v>
      </c>
      <c r="U146" s="3">
        <v>121.82668</v>
      </c>
      <c r="V146" s="3">
        <v>769.65247999999997</v>
      </c>
      <c r="W146" s="3">
        <v>2100.46</v>
      </c>
      <c r="X146" s="3">
        <v>0</v>
      </c>
      <c r="Y146" s="3">
        <v>0</v>
      </c>
      <c r="Z146" s="3">
        <v>0</v>
      </c>
      <c r="AA146" s="3">
        <v>0</v>
      </c>
      <c r="AB146" s="13">
        <f t="shared" si="37"/>
        <v>0</v>
      </c>
      <c r="AC146" s="13">
        <f t="shared" si="38"/>
        <v>0</v>
      </c>
      <c r="AD146" s="59" t="s">
        <v>180</v>
      </c>
      <c r="AE146" s="60">
        <v>1997.75</v>
      </c>
      <c r="AF146" s="60">
        <v>0</v>
      </c>
      <c r="AG146" s="60">
        <v>155.47</v>
      </c>
      <c r="AH146" s="60">
        <v>0</v>
      </c>
      <c r="AI146" s="13">
        <f t="shared" si="41"/>
        <v>0</v>
      </c>
      <c r="AJ146" s="13">
        <f t="shared" si="42"/>
        <v>0</v>
      </c>
      <c r="AK146" t="s">
        <v>180</v>
      </c>
      <c r="AL146" s="70">
        <v>1997.75</v>
      </c>
      <c r="AM146">
        <v>159.82</v>
      </c>
    </row>
    <row r="147" spans="1:39" ht="15" customHeight="1">
      <c r="A147" s="2" t="s">
        <v>181</v>
      </c>
      <c r="B147" s="2" t="s">
        <v>48</v>
      </c>
      <c r="C147" s="2" t="s">
        <v>33</v>
      </c>
      <c r="D147" s="2" t="s">
        <v>29</v>
      </c>
      <c r="E147" s="5">
        <v>1440.49</v>
      </c>
      <c r="F147" s="126">
        <v>0</v>
      </c>
      <c r="G147" s="126"/>
      <c r="H147" s="10">
        <v>0</v>
      </c>
      <c r="I147" s="3">
        <v>0</v>
      </c>
      <c r="J147" s="3">
        <v>115.2392</v>
      </c>
      <c r="K147" s="3">
        <v>0</v>
      </c>
      <c r="L147" s="3">
        <v>0</v>
      </c>
      <c r="M147" s="3">
        <v>0</v>
      </c>
      <c r="N147" s="3">
        <v>1440.49</v>
      </c>
      <c r="O147" s="3">
        <v>0</v>
      </c>
      <c r="P147" s="3">
        <v>108.03</v>
      </c>
      <c r="Q147" s="3">
        <v>0</v>
      </c>
      <c r="R147" s="3">
        <v>0</v>
      </c>
      <c r="S147" s="3">
        <v>399.55</v>
      </c>
      <c r="T147" s="3">
        <v>59.932499999999997</v>
      </c>
      <c r="U147" s="3">
        <v>115.8695</v>
      </c>
      <c r="V147" s="3">
        <v>730.822</v>
      </c>
      <c r="W147" s="3">
        <v>1997.75</v>
      </c>
      <c r="X147" s="3">
        <v>0</v>
      </c>
      <c r="Y147" s="3">
        <v>0</v>
      </c>
      <c r="Z147" s="3">
        <v>0</v>
      </c>
      <c r="AA147" s="3">
        <v>0</v>
      </c>
      <c r="AB147" s="13">
        <f t="shared" si="37"/>
        <v>0</v>
      </c>
      <c r="AC147" s="13">
        <f t="shared" si="38"/>
        <v>0</v>
      </c>
      <c r="AD147" s="65" t="s">
        <v>181</v>
      </c>
      <c r="AE147" s="66">
        <v>1440.49</v>
      </c>
      <c r="AF147" s="66">
        <v>0</v>
      </c>
      <c r="AG147" s="66">
        <v>108.03</v>
      </c>
      <c r="AH147" s="66">
        <v>0</v>
      </c>
      <c r="AI147" s="13">
        <f t="shared" si="41"/>
        <v>0</v>
      </c>
      <c r="AJ147" s="13">
        <f t="shared" si="42"/>
        <v>9.1999999999927695E-3</v>
      </c>
      <c r="AK147" t="s">
        <v>181</v>
      </c>
      <c r="AL147" s="70">
        <v>1440.49</v>
      </c>
      <c r="AM147">
        <v>115.23</v>
      </c>
    </row>
    <row r="148" spans="1:39" ht="15" customHeight="1">
      <c r="A148" s="2" t="s">
        <v>182</v>
      </c>
      <c r="B148" s="2" t="s">
        <v>35</v>
      </c>
      <c r="C148" s="2" t="s">
        <v>33</v>
      </c>
      <c r="D148" s="2" t="s">
        <v>29</v>
      </c>
      <c r="E148" s="5">
        <v>5939.18</v>
      </c>
      <c r="F148" s="126">
        <v>0</v>
      </c>
      <c r="G148" s="126"/>
      <c r="H148" s="10">
        <v>0</v>
      </c>
      <c r="I148" s="3">
        <v>0</v>
      </c>
      <c r="J148" s="3">
        <v>475.13440000000003</v>
      </c>
      <c r="K148" s="3">
        <v>0</v>
      </c>
      <c r="L148" s="3">
        <v>0</v>
      </c>
      <c r="M148" s="3">
        <v>0</v>
      </c>
      <c r="N148" s="3">
        <v>5939.18</v>
      </c>
      <c r="O148" s="3">
        <v>0</v>
      </c>
      <c r="P148" s="3">
        <v>632.98</v>
      </c>
      <c r="Q148" s="3">
        <v>0</v>
      </c>
      <c r="R148" s="3">
        <v>0</v>
      </c>
      <c r="S148" s="3">
        <v>288.09800000000001</v>
      </c>
      <c r="T148" s="3">
        <v>43.214700000000001</v>
      </c>
      <c r="U148" s="3">
        <v>83.548419999999993</v>
      </c>
      <c r="V148" s="3">
        <v>522.89112</v>
      </c>
      <c r="W148" s="3">
        <v>1440.49</v>
      </c>
      <c r="X148" s="3">
        <v>0</v>
      </c>
      <c r="Y148" s="3">
        <v>0</v>
      </c>
      <c r="Z148" s="3">
        <v>0</v>
      </c>
      <c r="AA148" s="3">
        <v>0</v>
      </c>
      <c r="AB148" s="13">
        <f t="shared" si="37"/>
        <v>0</v>
      </c>
      <c r="AC148" s="13">
        <f t="shared" si="38"/>
        <v>0</v>
      </c>
      <c r="AD148" s="59" t="s">
        <v>182</v>
      </c>
      <c r="AE148" s="60">
        <v>5939.18</v>
      </c>
      <c r="AF148" s="60">
        <v>0</v>
      </c>
      <c r="AG148" s="60">
        <v>632.98</v>
      </c>
      <c r="AH148" s="60">
        <v>0</v>
      </c>
      <c r="AI148" s="13">
        <f t="shared" si="41"/>
        <v>0</v>
      </c>
      <c r="AJ148" s="13">
        <f t="shared" si="42"/>
        <v>4.400000000032378E-3</v>
      </c>
      <c r="AK148" t="s">
        <v>182</v>
      </c>
      <c r="AL148" s="70">
        <v>5939.18</v>
      </c>
      <c r="AM148">
        <v>475.13</v>
      </c>
    </row>
    <row r="149" spans="1:39" ht="15" customHeight="1">
      <c r="A149" s="2" t="s">
        <v>183</v>
      </c>
      <c r="B149" s="2" t="s">
        <v>42</v>
      </c>
      <c r="C149" s="2" t="s">
        <v>33</v>
      </c>
      <c r="D149" s="2" t="s">
        <v>29</v>
      </c>
      <c r="E149" s="5">
        <v>1856.92</v>
      </c>
      <c r="F149" s="126">
        <v>0</v>
      </c>
      <c r="G149" s="126"/>
      <c r="H149" s="10">
        <v>0</v>
      </c>
      <c r="I149" s="3">
        <v>0</v>
      </c>
      <c r="J149" s="3">
        <v>148.55359999999999</v>
      </c>
      <c r="K149" s="3">
        <v>0</v>
      </c>
      <c r="L149" s="3">
        <v>0</v>
      </c>
      <c r="M149" s="3">
        <v>0</v>
      </c>
      <c r="N149" s="3">
        <v>1856.92</v>
      </c>
      <c r="O149" s="3">
        <v>0</v>
      </c>
      <c r="P149" s="3">
        <v>142.80000000000001</v>
      </c>
      <c r="Q149" s="3">
        <v>0</v>
      </c>
      <c r="R149" s="3">
        <v>0</v>
      </c>
      <c r="S149" s="3">
        <v>1187.836</v>
      </c>
      <c r="T149" s="3">
        <v>178.1754</v>
      </c>
      <c r="U149" s="3">
        <v>344.47244000000001</v>
      </c>
      <c r="V149" s="3">
        <v>2343.4638399999999</v>
      </c>
      <c r="W149" s="3">
        <v>5939.18</v>
      </c>
      <c r="X149" s="3">
        <v>0</v>
      </c>
      <c r="Y149" s="3">
        <v>362.62</v>
      </c>
      <c r="Z149" s="3">
        <v>0</v>
      </c>
      <c r="AA149" s="3">
        <v>0</v>
      </c>
      <c r="AB149" s="13">
        <f t="shared" si="37"/>
        <v>0</v>
      </c>
      <c r="AC149" s="13">
        <f t="shared" si="38"/>
        <v>0</v>
      </c>
      <c r="AD149" s="61" t="s">
        <v>183</v>
      </c>
      <c r="AE149" s="62">
        <v>1856.92</v>
      </c>
      <c r="AF149" s="62">
        <v>0</v>
      </c>
      <c r="AG149" s="62">
        <v>142.80000000000001</v>
      </c>
      <c r="AH149" s="62">
        <v>0</v>
      </c>
      <c r="AI149" s="13">
        <f t="shared" si="41"/>
        <v>0</v>
      </c>
      <c r="AJ149" s="13">
        <f t="shared" si="42"/>
        <v>3.5999999999773991E-3</v>
      </c>
      <c r="AK149" t="s">
        <v>183</v>
      </c>
      <c r="AL149" s="70">
        <v>1856.92</v>
      </c>
      <c r="AM149">
        <v>148.55000000000001</v>
      </c>
    </row>
    <row r="150" spans="1:39" ht="15" customHeight="1">
      <c r="A150" s="124"/>
      <c r="B150" s="124"/>
      <c r="C150" s="124"/>
      <c r="D150" s="124"/>
      <c r="E150" s="6">
        <v>321847.67999999999</v>
      </c>
      <c r="F150" s="125">
        <v>9055.9</v>
      </c>
      <c r="G150" s="125"/>
      <c r="H150" s="9">
        <v>184.63</v>
      </c>
      <c r="I150" s="7">
        <v>10531.01</v>
      </c>
      <c r="J150" s="7">
        <v>25747.814399999999</v>
      </c>
      <c r="K150" s="7">
        <v>724.47199999999998</v>
      </c>
      <c r="L150" s="7">
        <v>14.7704</v>
      </c>
      <c r="M150" s="7">
        <v>842.48080000000004</v>
      </c>
      <c r="N150" s="7">
        <v>320213.14</v>
      </c>
      <c r="O150" s="7">
        <v>10715.64</v>
      </c>
      <c r="P150" s="7">
        <v>28403.8</v>
      </c>
      <c r="Q150" s="7">
        <v>803.58</v>
      </c>
      <c r="R150" s="7">
        <v>160.11000000000001</v>
      </c>
      <c r="S150" s="3">
        <v>371.38400000000001</v>
      </c>
      <c r="T150" s="3">
        <v>55.707599999999999</v>
      </c>
      <c r="U150" s="3">
        <v>107.70135999999999</v>
      </c>
      <c r="V150" s="3">
        <v>677.59295999999995</v>
      </c>
      <c r="W150" s="3">
        <v>1856.92</v>
      </c>
      <c r="X150" s="3">
        <v>0</v>
      </c>
      <c r="Y150" s="3">
        <v>0</v>
      </c>
      <c r="Z150" s="3">
        <v>0</v>
      </c>
      <c r="AA150" s="3">
        <v>0</v>
      </c>
      <c r="AB150" s="13">
        <f t="shared" si="37"/>
        <v>-8475.5499999999302</v>
      </c>
      <c r="AC150" s="13">
        <f t="shared" si="38"/>
        <v>-160.10999999998239</v>
      </c>
      <c r="AE150" s="64">
        <f t="shared" ref="AE150:AJ150" si="43">SUM(AE13:AE149)</f>
        <v>328688.68999999994</v>
      </c>
      <c r="AF150" s="64">
        <f t="shared" si="43"/>
        <v>10715.64</v>
      </c>
      <c r="AG150" s="64">
        <f t="shared" si="43"/>
        <v>28563.909999999982</v>
      </c>
      <c r="AH150" s="64">
        <f t="shared" si="43"/>
        <v>803.57999999999993</v>
      </c>
      <c r="AI150" s="13">
        <f t="shared" si="43"/>
        <v>38898.239999999998</v>
      </c>
      <c r="AJ150" s="13">
        <f t="shared" si="43"/>
        <v>3112.4076000000005</v>
      </c>
    </row>
    <row r="151" spans="1:39" s="8" customFormat="1" ht="13.9" customHeight="1">
      <c r="A151" s="55"/>
      <c r="B151" s="55"/>
      <c r="C151" s="55"/>
      <c r="D151" s="55"/>
      <c r="E151" s="56">
        <v>321847.67999999999</v>
      </c>
      <c r="F151" s="57"/>
      <c r="G151" s="57">
        <v>9055.9</v>
      </c>
      <c r="H151" s="56">
        <v>184.63</v>
      </c>
      <c r="I151" s="3">
        <v>10531.01</v>
      </c>
      <c r="J151" s="3">
        <v>25747.814399999999</v>
      </c>
      <c r="K151" s="3">
        <v>724.47199999999998</v>
      </c>
      <c r="L151" s="3">
        <v>14.7704</v>
      </c>
      <c r="M151" s="3">
        <v>842.48080000000004</v>
      </c>
      <c r="N151" s="3">
        <v>320213.14</v>
      </c>
      <c r="O151" s="3">
        <v>10715.64</v>
      </c>
      <c r="P151" s="3">
        <v>28403.8</v>
      </c>
      <c r="Q151" s="3">
        <v>803.58</v>
      </c>
      <c r="R151" s="3">
        <v>160.11000000000001</v>
      </c>
      <c r="S151" s="7">
        <v>66185.755999999994</v>
      </c>
      <c r="T151" s="7">
        <v>9927.8634000000002</v>
      </c>
      <c r="U151" s="7">
        <v>19193.86924</v>
      </c>
      <c r="V151" s="7">
        <v>124587.17864</v>
      </c>
      <c r="W151" s="7">
        <v>326639.35999999999</v>
      </c>
      <c r="X151" s="7">
        <v>2049.33</v>
      </c>
      <c r="Y151" s="7">
        <v>4632.58</v>
      </c>
      <c r="Z151" s="7">
        <v>0</v>
      </c>
      <c r="AA151" s="7">
        <v>0</v>
      </c>
      <c r="AB151" s="13">
        <f t="shared" si="37"/>
        <v>330928.78000000003</v>
      </c>
      <c r="AC151" s="13">
        <f t="shared" si="38"/>
        <v>29207.38</v>
      </c>
      <c r="AD151"/>
      <c r="AE151"/>
      <c r="AF151"/>
      <c r="AG151"/>
      <c r="AH151"/>
      <c r="AI151" s="13"/>
      <c r="AJ151" s="13"/>
      <c r="AK151"/>
      <c r="AL151"/>
      <c r="AM151"/>
    </row>
    <row r="152" spans="1:39" s="8" customFormat="1" ht="13.9" customHeight="1">
      <c r="A152" s="55"/>
      <c r="B152" s="55"/>
      <c r="C152" s="55"/>
      <c r="D152" s="55"/>
      <c r="E152" s="56"/>
      <c r="F152" s="57"/>
      <c r="G152" s="57"/>
      <c r="H152" s="56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3">
        <v>66185.755999999994</v>
      </c>
      <c r="T152" s="3">
        <v>9927.8634000000002</v>
      </c>
      <c r="U152" s="3">
        <v>19193.86924</v>
      </c>
      <c r="V152" s="3">
        <v>124587.17864</v>
      </c>
      <c r="W152" s="3">
        <v>326639.35999999999</v>
      </c>
      <c r="X152" s="3">
        <v>2049.33</v>
      </c>
      <c r="Y152" s="3">
        <v>4632.58</v>
      </c>
      <c r="Z152" s="3">
        <v>0</v>
      </c>
      <c r="AA152" s="3">
        <v>0</v>
      </c>
      <c r="AB152" s="13">
        <f t="shared" si="37"/>
        <v>0</v>
      </c>
      <c r="AC152" s="13">
        <f t="shared" si="38"/>
        <v>0</v>
      </c>
      <c r="AI152" s="13"/>
      <c r="AJ152" s="13"/>
      <c r="AK152"/>
      <c r="AL152"/>
      <c r="AM152"/>
    </row>
    <row r="153" spans="1:39" s="8" customFormat="1" ht="13.9" customHeight="1">
      <c r="A153" s="55"/>
      <c r="B153" s="55"/>
      <c r="C153" s="55"/>
      <c r="D153" s="55"/>
      <c r="E153" s="56"/>
      <c r="F153" s="57"/>
      <c r="G153" s="57"/>
      <c r="H153" s="56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  <c r="AA153" s="57"/>
      <c r="AB153" s="13">
        <f t="shared" si="37"/>
        <v>0</v>
      </c>
      <c r="AC153" s="13">
        <f t="shared" si="38"/>
        <v>0</v>
      </c>
      <c r="AI153" s="13"/>
      <c r="AJ153" s="13"/>
      <c r="AK153"/>
      <c r="AL153"/>
      <c r="AM153"/>
    </row>
    <row r="154" spans="1:39" s="8" customFormat="1" ht="13.9" customHeight="1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 s="57"/>
      <c r="T154" s="57"/>
      <c r="U154" s="57"/>
      <c r="V154" s="57"/>
      <c r="W154" s="57"/>
      <c r="X154" s="57"/>
      <c r="Y154" s="57"/>
      <c r="Z154" s="57"/>
      <c r="AA154" s="57"/>
      <c r="AI154" s="13"/>
      <c r="AJ154" s="13"/>
      <c r="AK154"/>
      <c r="AL154"/>
      <c r="AM154"/>
    </row>
    <row r="155" spans="1:39">
      <c r="A155" s="12" t="s">
        <v>4</v>
      </c>
      <c r="C155" s="11" t="s">
        <v>184</v>
      </c>
      <c r="E155" s="14">
        <f>E150+F150+H150+I150</f>
        <v>341619.22000000003</v>
      </c>
      <c r="G155" s="26">
        <v>330903.58</v>
      </c>
      <c r="AB155" s="8"/>
      <c r="AC155" s="8"/>
      <c r="AD155" s="8"/>
      <c r="AE155" s="8"/>
      <c r="AF155" s="8"/>
      <c r="AG155" s="8"/>
      <c r="AH155" s="8"/>
      <c r="AI155" s="13"/>
      <c r="AJ155" s="13"/>
    </row>
    <row r="156" spans="1:39" ht="15.75" thickBot="1">
      <c r="G156" s="26">
        <v>10715.64</v>
      </c>
      <c r="J156" s="8" t="s">
        <v>214</v>
      </c>
      <c r="K156" s="8"/>
      <c r="AI156" s="13"/>
      <c r="AJ156" s="13"/>
    </row>
    <row r="157" spans="1:39">
      <c r="C157" s="25" t="s">
        <v>185</v>
      </c>
      <c r="D157" s="25"/>
      <c r="E157" s="43">
        <f>E55+E61+E64+E66+E92+E113</f>
        <v>6300</v>
      </c>
      <c r="G157" s="42">
        <f>SUM(G155:G156)</f>
        <v>341619.22000000003</v>
      </c>
      <c r="H157" s="13">
        <f>E157*0.02</f>
        <v>126</v>
      </c>
      <c r="J157" s="37" t="s">
        <v>215</v>
      </c>
      <c r="K157" s="38"/>
      <c r="L157" s="28"/>
      <c r="AI157" s="13"/>
      <c r="AJ157" s="13"/>
    </row>
    <row r="158" spans="1:39" ht="15.75" thickBot="1">
      <c r="C158" t="s">
        <v>186</v>
      </c>
      <c r="E158" s="13">
        <f>E155-E157</f>
        <v>335319.22000000003</v>
      </c>
      <c r="H158" s="13">
        <f>E158*0.08</f>
        <v>26825.537600000003</v>
      </c>
      <c r="J158" s="39" t="s">
        <v>215</v>
      </c>
      <c r="K158" s="40"/>
      <c r="L158" s="29"/>
      <c r="AI158" s="13"/>
      <c r="AJ158" s="13"/>
    </row>
    <row r="159" spans="1:39">
      <c r="AI159" s="13"/>
      <c r="AJ159" s="13"/>
    </row>
    <row r="160" spans="1:39">
      <c r="C160" t="s">
        <v>207</v>
      </c>
      <c r="E160" s="26">
        <f>F160/8*100</f>
        <v>38896.124999999993</v>
      </c>
      <c r="F160" s="26">
        <f>GRRF!S14</f>
        <v>3111.6899999999996</v>
      </c>
      <c r="H160" s="13">
        <f>SUM(H157:H159)</f>
        <v>26951.537600000003</v>
      </c>
      <c r="AI160" s="13"/>
      <c r="AJ160" s="13"/>
    </row>
    <row r="161" spans="3:39">
      <c r="E161" s="26"/>
      <c r="F161" s="26"/>
      <c r="H161" s="13"/>
      <c r="AI161" s="13"/>
      <c r="AJ161" s="13"/>
    </row>
    <row r="162" spans="3:39">
      <c r="C162" t="s">
        <v>212</v>
      </c>
      <c r="E162" s="41" t="s">
        <v>213</v>
      </c>
      <c r="F162" s="26"/>
      <c r="H162" s="13"/>
      <c r="AI162" s="13"/>
      <c r="AJ162" s="13"/>
    </row>
    <row r="163" spans="3:39" ht="15.75" thickBot="1">
      <c r="AI163" s="13"/>
      <c r="AJ163" s="13"/>
    </row>
    <row r="164" spans="3:39">
      <c r="C164" t="s">
        <v>208</v>
      </c>
      <c r="E164" s="13">
        <f>E158-E160</f>
        <v>296423.09500000003</v>
      </c>
      <c r="G164" s="36">
        <f>E164*0.08</f>
        <v>23713.847600000005</v>
      </c>
      <c r="H164" s="30" t="s">
        <v>210</v>
      </c>
      <c r="AI164" s="13"/>
      <c r="AJ164" s="13"/>
      <c r="AK164" s="8"/>
      <c r="AL164" s="8"/>
      <c r="AM164" s="8"/>
    </row>
    <row r="165" spans="3:39">
      <c r="C165" t="s">
        <v>209</v>
      </c>
      <c r="E165" s="13">
        <f>E157</f>
        <v>6300</v>
      </c>
      <c r="G165" s="35">
        <f>E165*0.02</f>
        <v>126</v>
      </c>
      <c r="H165" s="31"/>
      <c r="AI165" s="8"/>
      <c r="AJ165" s="8"/>
      <c r="AK165" s="8"/>
      <c r="AL165" s="8"/>
      <c r="AM165" s="8"/>
    </row>
    <row r="166" spans="3:39">
      <c r="G166" s="32"/>
      <c r="H166" s="31"/>
      <c r="AK166" s="8"/>
      <c r="AL166" s="8"/>
      <c r="AM166" s="8"/>
    </row>
    <row r="167" spans="3:39" ht="15.75" thickBot="1">
      <c r="G167" s="33">
        <f>SUBTOTAL(9,G164:G166)</f>
        <v>23839.847600000005</v>
      </c>
      <c r="H167" s="34"/>
      <c r="I167" s="8" t="s">
        <v>211</v>
      </c>
      <c r="AK167" s="8"/>
      <c r="AL167" s="8"/>
      <c r="AM167" s="8"/>
    </row>
    <row r="169" spans="3:39">
      <c r="G169" t="s">
        <v>239</v>
      </c>
      <c r="H169" s="77">
        <v>23839.13</v>
      </c>
    </row>
  </sheetData>
  <autoFilter ref="A12:AA151" xr:uid="{00000000-0001-0000-0000-000000000000}">
    <filterColumn colId="5" showButton="0"/>
  </autoFilter>
  <mergeCells count="140">
    <mergeCell ref="F12:G12"/>
    <mergeCell ref="F13:G13"/>
    <mergeCell ref="F21:G21"/>
    <mergeCell ref="F22:G22"/>
    <mergeCell ref="F19:G19"/>
    <mergeCell ref="F20:G20"/>
    <mergeCell ref="F17:G17"/>
    <mergeCell ref="F18:G18"/>
    <mergeCell ref="F14:G14"/>
    <mergeCell ref="F15:G15"/>
    <mergeCell ref="F16:G16"/>
    <mergeCell ref="F31:G31"/>
    <mergeCell ref="F32:G32"/>
    <mergeCell ref="F29:G29"/>
    <mergeCell ref="F30:G30"/>
    <mergeCell ref="F27:G27"/>
    <mergeCell ref="F28:G28"/>
    <mergeCell ref="F25:G25"/>
    <mergeCell ref="F26:G26"/>
    <mergeCell ref="F23:G23"/>
    <mergeCell ref="F24:G24"/>
    <mergeCell ref="F41:G41"/>
    <mergeCell ref="F42:G42"/>
    <mergeCell ref="F39:G39"/>
    <mergeCell ref="F40:G40"/>
    <mergeCell ref="F37:G37"/>
    <mergeCell ref="F38:G38"/>
    <mergeCell ref="F35:G35"/>
    <mergeCell ref="F36:G36"/>
    <mergeCell ref="F33:G33"/>
    <mergeCell ref="F34:G34"/>
    <mergeCell ref="F51:G51"/>
    <mergeCell ref="F52:G52"/>
    <mergeCell ref="F49:G49"/>
    <mergeCell ref="F50:G50"/>
    <mergeCell ref="F47:G47"/>
    <mergeCell ref="F48:G48"/>
    <mergeCell ref="F45:G45"/>
    <mergeCell ref="F46:G46"/>
    <mergeCell ref="F43:G43"/>
    <mergeCell ref="F44:G44"/>
    <mergeCell ref="F61:G61"/>
    <mergeCell ref="F62:G62"/>
    <mergeCell ref="F59:G59"/>
    <mergeCell ref="F60:G60"/>
    <mergeCell ref="F57:G57"/>
    <mergeCell ref="F58:G58"/>
    <mergeCell ref="F55:G55"/>
    <mergeCell ref="F56:G56"/>
    <mergeCell ref="F53:G53"/>
    <mergeCell ref="F54:G54"/>
    <mergeCell ref="F71:G71"/>
    <mergeCell ref="F72:G72"/>
    <mergeCell ref="F69:G69"/>
    <mergeCell ref="F70:G70"/>
    <mergeCell ref="F67:G67"/>
    <mergeCell ref="F68:G68"/>
    <mergeCell ref="F65:G65"/>
    <mergeCell ref="F66:G66"/>
    <mergeCell ref="F63:G63"/>
    <mergeCell ref="F64:G64"/>
    <mergeCell ref="F81:G81"/>
    <mergeCell ref="F82:G82"/>
    <mergeCell ref="F79:G79"/>
    <mergeCell ref="F80:G80"/>
    <mergeCell ref="F77:G77"/>
    <mergeCell ref="F78:G78"/>
    <mergeCell ref="F75:G75"/>
    <mergeCell ref="F76:G76"/>
    <mergeCell ref="F73:G73"/>
    <mergeCell ref="F74:G74"/>
    <mergeCell ref="F91:G91"/>
    <mergeCell ref="F92:G92"/>
    <mergeCell ref="F89:G89"/>
    <mergeCell ref="F90:G90"/>
    <mergeCell ref="F87:G87"/>
    <mergeCell ref="F88:G88"/>
    <mergeCell ref="F85:G85"/>
    <mergeCell ref="F86:G86"/>
    <mergeCell ref="F83:G83"/>
    <mergeCell ref="F84:G84"/>
    <mergeCell ref="F101:G101"/>
    <mergeCell ref="F102:G102"/>
    <mergeCell ref="F99:G99"/>
    <mergeCell ref="F100:G100"/>
    <mergeCell ref="F97:G97"/>
    <mergeCell ref="F98:G98"/>
    <mergeCell ref="F95:G95"/>
    <mergeCell ref="F96:G96"/>
    <mergeCell ref="F93:G93"/>
    <mergeCell ref="F94:G94"/>
    <mergeCell ref="F111:G111"/>
    <mergeCell ref="F112:G112"/>
    <mergeCell ref="F109:G109"/>
    <mergeCell ref="F110:G110"/>
    <mergeCell ref="F107:G107"/>
    <mergeCell ref="F108:G108"/>
    <mergeCell ref="F105:G105"/>
    <mergeCell ref="F106:G106"/>
    <mergeCell ref="F103:G103"/>
    <mergeCell ref="F104:G104"/>
    <mergeCell ref="F121:G121"/>
    <mergeCell ref="F122:G122"/>
    <mergeCell ref="F119:G119"/>
    <mergeCell ref="F120:G120"/>
    <mergeCell ref="F117:G117"/>
    <mergeCell ref="F118:G118"/>
    <mergeCell ref="F115:G115"/>
    <mergeCell ref="F116:G116"/>
    <mergeCell ref="F113:G113"/>
    <mergeCell ref="F114:G114"/>
    <mergeCell ref="F130:G130"/>
    <mergeCell ref="F131:G131"/>
    <mergeCell ref="F129:G129"/>
    <mergeCell ref="F127:G127"/>
    <mergeCell ref="F128:G128"/>
    <mergeCell ref="F125:G125"/>
    <mergeCell ref="F126:G126"/>
    <mergeCell ref="F123:G123"/>
    <mergeCell ref="F124:G124"/>
    <mergeCell ref="F140:G140"/>
    <mergeCell ref="F141:G141"/>
    <mergeCell ref="F138:G138"/>
    <mergeCell ref="F139:G139"/>
    <mergeCell ref="F136:G136"/>
    <mergeCell ref="F137:G137"/>
    <mergeCell ref="F134:G134"/>
    <mergeCell ref="F135:G135"/>
    <mergeCell ref="F132:G132"/>
    <mergeCell ref="F133:G133"/>
    <mergeCell ref="A150:D150"/>
    <mergeCell ref="F150:G150"/>
    <mergeCell ref="F148:G148"/>
    <mergeCell ref="F149:G149"/>
    <mergeCell ref="F146:G146"/>
    <mergeCell ref="F147:G147"/>
    <mergeCell ref="F144:G144"/>
    <mergeCell ref="F145:G145"/>
    <mergeCell ref="F142:G142"/>
    <mergeCell ref="F143:G143"/>
  </mergeCells>
  <pageMargins left="1" right="1" top="1" bottom="1" header="0.3" footer="0.3"/>
  <pageSetup orientation="portrait"/>
  <ignoredErrors>
    <ignoredError sqref="E13:E62 F12:H12 F13:H62 A12:D128 I12:AA54 I56:AA60 I55 K55:AA55 I62:AA62 I61 K61:AA61 I65:AA65 I64 K64:AA64 I67:AA91 I66 K66:AA66 I93:AA112 I92 K92:AA92 I114:AA128 I113 K113:AA113 F64:H128 G63 I150 A129:A150 B129:B150 C129:C150 D129:D150 I129:R149 F129:H150 E64:E149 S129:AA15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C928-BE8C-4FEE-A978-947C96A2BC3E}">
  <dimension ref="A1:L44"/>
  <sheetViews>
    <sheetView topLeftCell="A21" workbookViewId="0">
      <selection activeCell="D43" sqref="D43"/>
    </sheetView>
  </sheetViews>
  <sheetFormatPr defaultRowHeight="15"/>
  <cols>
    <col min="1" max="1" width="27.7109375" bestFit="1" customWidth="1"/>
    <col min="3" max="3" width="10.5703125" bestFit="1" customWidth="1"/>
    <col min="4" max="4" width="28.28515625" bestFit="1" customWidth="1"/>
    <col min="6" max="6" width="10.28515625" bestFit="1" customWidth="1"/>
    <col min="12" max="12" width="12.85546875" bestFit="1" customWidth="1"/>
  </cols>
  <sheetData>
    <row r="1" spans="1:12">
      <c r="L1" s="26">
        <v>9724.89</v>
      </c>
    </row>
    <row r="2" spans="1:12">
      <c r="L2" s="26">
        <v>4424.03</v>
      </c>
    </row>
    <row r="3" spans="1:12">
      <c r="L3" s="26">
        <v>1349.19</v>
      </c>
    </row>
    <row r="4" spans="1:12">
      <c r="L4" s="26">
        <v>276.16000000000003</v>
      </c>
    </row>
    <row r="5" spans="1:12">
      <c r="L5" s="26">
        <v>143.02000000000001</v>
      </c>
    </row>
    <row r="7" spans="1:12">
      <c r="D7" s="15" t="s">
        <v>22</v>
      </c>
      <c r="E7" s="15" t="s">
        <v>24</v>
      </c>
      <c r="F7" s="122">
        <v>5</v>
      </c>
      <c r="L7" s="26">
        <f>SUM(L1:L6)</f>
        <v>15917.289999999999</v>
      </c>
    </row>
    <row r="8" spans="1:12">
      <c r="A8" s="123" t="s">
        <v>26</v>
      </c>
      <c r="B8" s="123">
        <v>522.6</v>
      </c>
      <c r="C8">
        <f t="shared" ref="C8:C37" si="0">B8-F8</f>
        <v>0</v>
      </c>
      <c r="D8" s="15" t="s">
        <v>26</v>
      </c>
      <c r="E8" s="15" t="s">
        <v>28</v>
      </c>
      <c r="F8" s="17">
        <v>522.6</v>
      </c>
    </row>
    <row r="9" spans="1:12">
      <c r="A9" s="123" t="s">
        <v>462</v>
      </c>
      <c r="B9" s="123">
        <v>558.83000000000004</v>
      </c>
      <c r="C9">
        <f t="shared" si="0"/>
        <v>0</v>
      </c>
      <c r="D9" s="15" t="s">
        <v>39</v>
      </c>
      <c r="E9" s="15" t="s">
        <v>28</v>
      </c>
      <c r="F9" s="17">
        <v>558.83000000000004</v>
      </c>
    </row>
    <row r="10" spans="1:12">
      <c r="A10" t="s">
        <v>439</v>
      </c>
      <c r="B10">
        <v>979.3</v>
      </c>
      <c r="C10">
        <f t="shared" si="0"/>
        <v>0</v>
      </c>
      <c r="D10" s="15" t="s">
        <v>49</v>
      </c>
      <c r="E10" s="15" t="s">
        <v>33</v>
      </c>
      <c r="F10" s="17">
        <v>979.3</v>
      </c>
    </row>
    <row r="11" spans="1:12">
      <c r="A11" t="s">
        <v>440</v>
      </c>
      <c r="B11">
        <v>371.63</v>
      </c>
      <c r="C11">
        <f t="shared" si="0"/>
        <v>0</v>
      </c>
      <c r="D11" s="15" t="s">
        <v>62</v>
      </c>
      <c r="E11" s="15" t="s">
        <v>33</v>
      </c>
      <c r="F11" s="17">
        <v>371.63</v>
      </c>
    </row>
    <row r="12" spans="1:12">
      <c r="A12" t="s">
        <v>463</v>
      </c>
      <c r="B12">
        <v>288.10000000000002</v>
      </c>
      <c r="C12">
        <f t="shared" si="0"/>
        <v>0</v>
      </c>
      <c r="D12" s="15" t="s">
        <v>67</v>
      </c>
      <c r="E12" s="15" t="s">
        <v>28</v>
      </c>
      <c r="F12" s="17">
        <v>288.10000000000002</v>
      </c>
    </row>
    <row r="13" spans="1:12">
      <c r="A13" s="123" t="s">
        <v>75</v>
      </c>
      <c r="B13" s="123">
        <v>553.92999999999995</v>
      </c>
      <c r="C13">
        <f t="shared" si="0"/>
        <v>0</v>
      </c>
      <c r="D13" s="15" t="s">
        <v>75</v>
      </c>
      <c r="E13" s="15" t="s">
        <v>28</v>
      </c>
      <c r="F13" s="17">
        <v>553.92999999999995</v>
      </c>
    </row>
    <row r="14" spans="1:12">
      <c r="A14" t="s">
        <v>441</v>
      </c>
      <c r="B14">
        <v>650.13</v>
      </c>
      <c r="C14">
        <f t="shared" si="0"/>
        <v>0</v>
      </c>
      <c r="D14" s="15" t="s">
        <v>82</v>
      </c>
      <c r="E14" s="15" t="s">
        <v>33</v>
      </c>
      <c r="F14" s="17">
        <v>650.13</v>
      </c>
    </row>
    <row r="15" spans="1:12">
      <c r="A15" t="s">
        <v>442</v>
      </c>
      <c r="B15">
        <v>485.58</v>
      </c>
      <c r="C15">
        <f t="shared" si="0"/>
        <v>0</v>
      </c>
      <c r="D15" s="15" t="s">
        <v>84</v>
      </c>
      <c r="E15" s="15" t="s">
        <v>33</v>
      </c>
      <c r="F15" s="17">
        <v>485.58</v>
      </c>
    </row>
    <row r="16" spans="1:12">
      <c r="A16" s="123" t="s">
        <v>88</v>
      </c>
      <c r="B16" s="123">
        <v>577.04</v>
      </c>
      <c r="C16">
        <f t="shared" si="0"/>
        <v>0</v>
      </c>
      <c r="D16" s="15" t="s">
        <v>88</v>
      </c>
      <c r="E16" s="15" t="s">
        <v>28</v>
      </c>
      <c r="F16" s="17">
        <v>577.04</v>
      </c>
    </row>
    <row r="17" spans="1:6">
      <c r="A17" t="s">
        <v>443</v>
      </c>
      <c r="B17">
        <v>599.42999999999995</v>
      </c>
      <c r="C17">
        <f t="shared" si="0"/>
        <v>0</v>
      </c>
      <c r="D17" s="15" t="s">
        <v>89</v>
      </c>
      <c r="E17" s="15" t="s">
        <v>33</v>
      </c>
      <c r="F17" s="17">
        <v>599.42999999999995</v>
      </c>
    </row>
    <row r="18" spans="1:6">
      <c r="A18" s="123" t="s">
        <v>91</v>
      </c>
      <c r="B18" s="123">
        <v>909.99</v>
      </c>
      <c r="C18">
        <f t="shared" si="0"/>
        <v>0</v>
      </c>
      <c r="D18" s="15" t="s">
        <v>91</v>
      </c>
      <c r="E18" s="15" t="s">
        <v>28</v>
      </c>
      <c r="F18" s="17">
        <v>909.99</v>
      </c>
    </row>
    <row r="19" spans="1:6">
      <c r="A19" t="s">
        <v>444</v>
      </c>
      <c r="B19">
        <v>949.23</v>
      </c>
      <c r="C19">
        <f t="shared" si="0"/>
        <v>0</v>
      </c>
      <c r="D19" s="15" t="s">
        <v>94</v>
      </c>
      <c r="E19" s="15" t="s">
        <v>33</v>
      </c>
      <c r="F19" s="17">
        <v>949.23</v>
      </c>
    </row>
    <row r="20" spans="1:6">
      <c r="A20" t="s">
        <v>445</v>
      </c>
      <c r="B20">
        <v>582.04</v>
      </c>
      <c r="C20">
        <f t="shared" si="0"/>
        <v>0</v>
      </c>
      <c r="D20" s="15" t="s">
        <v>101</v>
      </c>
      <c r="E20" s="15" t="s">
        <v>33</v>
      </c>
      <c r="F20" s="17">
        <v>582.04</v>
      </c>
    </row>
    <row r="21" spans="1:6">
      <c r="A21" t="s">
        <v>446</v>
      </c>
      <c r="B21">
        <v>290.91000000000003</v>
      </c>
      <c r="C21">
        <f t="shared" si="0"/>
        <v>0</v>
      </c>
      <c r="D21" s="15" t="s">
        <v>105</v>
      </c>
      <c r="E21" s="15" t="s">
        <v>33</v>
      </c>
      <c r="F21" s="17">
        <v>290.91000000000003</v>
      </c>
    </row>
    <row r="22" spans="1:6">
      <c r="A22" t="s">
        <v>447</v>
      </c>
      <c r="B22">
        <v>621.13</v>
      </c>
      <c r="C22">
        <f t="shared" si="0"/>
        <v>0</v>
      </c>
      <c r="D22" s="15" t="s">
        <v>108</v>
      </c>
      <c r="E22" s="15" t="s">
        <v>33</v>
      </c>
      <c r="F22" s="17">
        <v>621.13</v>
      </c>
    </row>
    <row r="23" spans="1:6">
      <c r="A23" t="s">
        <v>448</v>
      </c>
      <c r="B23">
        <v>625.16999999999996</v>
      </c>
      <c r="C23">
        <f t="shared" si="0"/>
        <v>0</v>
      </c>
      <c r="D23" s="15" t="s">
        <v>110</v>
      </c>
      <c r="E23" s="15" t="s">
        <v>33</v>
      </c>
      <c r="F23" s="17">
        <v>625.16999999999996</v>
      </c>
    </row>
    <row r="24" spans="1:6">
      <c r="A24" t="s">
        <v>449</v>
      </c>
      <c r="B24">
        <v>660.7</v>
      </c>
      <c r="C24">
        <f t="shared" si="0"/>
        <v>0</v>
      </c>
      <c r="D24" s="15" t="s">
        <v>112</v>
      </c>
      <c r="E24" s="15" t="s">
        <v>33</v>
      </c>
      <c r="F24" s="17">
        <v>660.7</v>
      </c>
    </row>
    <row r="25" spans="1:6">
      <c r="A25" t="s">
        <v>450</v>
      </c>
      <c r="B25">
        <v>513.99</v>
      </c>
      <c r="C25">
        <f t="shared" si="0"/>
        <v>0</v>
      </c>
      <c r="D25" s="15" t="s">
        <v>113</v>
      </c>
      <c r="E25" s="15" t="s">
        <v>33</v>
      </c>
      <c r="F25" s="17">
        <v>513.99</v>
      </c>
    </row>
    <row r="26" spans="1:6">
      <c r="A26" t="s">
        <v>451</v>
      </c>
      <c r="B26">
        <v>435.25</v>
      </c>
      <c r="C26">
        <f t="shared" si="0"/>
        <v>0</v>
      </c>
      <c r="D26" s="15" t="s">
        <v>114</v>
      </c>
      <c r="E26" s="15" t="s">
        <v>33</v>
      </c>
      <c r="F26" s="17">
        <v>435.25</v>
      </c>
    </row>
    <row r="27" spans="1:6">
      <c r="C27">
        <f t="shared" si="0"/>
        <v>-114.63</v>
      </c>
      <c r="D27" s="15" t="s">
        <v>117</v>
      </c>
      <c r="E27" s="15" t="s">
        <v>28</v>
      </c>
      <c r="F27" s="17">
        <v>114.63</v>
      </c>
    </row>
    <row r="28" spans="1:6">
      <c r="A28" t="s">
        <v>452</v>
      </c>
      <c r="B28">
        <v>165.35</v>
      </c>
      <c r="C28">
        <f t="shared" si="0"/>
        <v>0</v>
      </c>
      <c r="D28" s="15" t="s">
        <v>130</v>
      </c>
      <c r="E28" s="15" t="s">
        <v>33</v>
      </c>
      <c r="F28" s="17">
        <v>165.35</v>
      </c>
    </row>
    <row r="29" spans="1:6">
      <c r="A29" t="s">
        <v>453</v>
      </c>
      <c r="B29">
        <v>293.2</v>
      </c>
      <c r="C29">
        <f t="shared" si="0"/>
        <v>0</v>
      </c>
      <c r="D29" s="15" t="s">
        <v>132</v>
      </c>
      <c r="E29" s="15" t="s">
        <v>33</v>
      </c>
      <c r="F29" s="17">
        <v>293.2</v>
      </c>
    </row>
    <row r="30" spans="1:6">
      <c r="A30" t="s">
        <v>454</v>
      </c>
      <c r="B30">
        <v>217.53</v>
      </c>
      <c r="C30">
        <f t="shared" si="0"/>
        <v>0</v>
      </c>
      <c r="D30" s="15" t="s">
        <v>136</v>
      </c>
      <c r="E30" s="15" t="s">
        <v>33</v>
      </c>
      <c r="F30" s="17">
        <v>217.53</v>
      </c>
    </row>
    <row r="31" spans="1:6">
      <c r="A31" t="s">
        <v>455</v>
      </c>
      <c r="B31">
        <v>559.53</v>
      </c>
      <c r="C31">
        <f t="shared" si="0"/>
        <v>0</v>
      </c>
      <c r="D31" s="15" t="s">
        <v>137</v>
      </c>
      <c r="E31" s="15" t="s">
        <v>33</v>
      </c>
      <c r="F31" s="17">
        <v>559.53</v>
      </c>
    </row>
    <row r="32" spans="1:6">
      <c r="A32" t="s">
        <v>456</v>
      </c>
      <c r="B32">
        <v>856.98</v>
      </c>
      <c r="C32">
        <f t="shared" si="0"/>
        <v>0</v>
      </c>
      <c r="D32" s="15" t="s">
        <v>148</v>
      </c>
      <c r="E32" s="15" t="s">
        <v>33</v>
      </c>
      <c r="F32" s="17">
        <v>856.98</v>
      </c>
    </row>
    <row r="33" spans="1:6">
      <c r="A33" t="s">
        <v>457</v>
      </c>
      <c r="B33">
        <v>346.18</v>
      </c>
      <c r="C33">
        <f t="shared" si="0"/>
        <v>0</v>
      </c>
      <c r="D33" s="15" t="s">
        <v>158</v>
      </c>
      <c r="E33" s="15" t="s">
        <v>33</v>
      </c>
      <c r="F33" s="17">
        <v>346.18</v>
      </c>
    </row>
    <row r="34" spans="1:6">
      <c r="A34" t="s">
        <v>458</v>
      </c>
      <c r="B34">
        <v>400</v>
      </c>
      <c r="C34">
        <f t="shared" si="0"/>
        <v>0</v>
      </c>
      <c r="D34" s="15" t="s">
        <v>171</v>
      </c>
      <c r="E34" s="15" t="s">
        <v>33</v>
      </c>
      <c r="F34" s="17">
        <v>400</v>
      </c>
    </row>
    <row r="35" spans="1:6">
      <c r="A35" t="s">
        <v>459</v>
      </c>
      <c r="B35">
        <v>264.77</v>
      </c>
      <c r="C35">
        <f t="shared" si="0"/>
        <v>0</v>
      </c>
      <c r="D35" s="15" t="s">
        <v>173</v>
      </c>
      <c r="E35" s="15" t="s">
        <v>33</v>
      </c>
      <c r="F35" s="17">
        <v>264.77</v>
      </c>
    </row>
    <row r="36" spans="1:6">
      <c r="A36" t="s">
        <v>460</v>
      </c>
      <c r="B36">
        <v>245.37</v>
      </c>
      <c r="C36">
        <f t="shared" si="0"/>
        <v>0</v>
      </c>
      <c r="D36" s="15" t="s">
        <v>178</v>
      </c>
      <c r="E36" s="15" t="s">
        <v>33</v>
      </c>
      <c r="F36" s="17">
        <v>245.37</v>
      </c>
    </row>
    <row r="37" spans="1:6">
      <c r="A37" t="s">
        <v>461</v>
      </c>
      <c r="B37" s="70">
        <v>1278.77</v>
      </c>
      <c r="C37">
        <f t="shared" si="0"/>
        <v>0</v>
      </c>
      <c r="D37" s="15" t="s">
        <v>182</v>
      </c>
      <c r="E37" s="15" t="s">
        <v>33</v>
      </c>
      <c r="F37" s="17">
        <v>1278.77</v>
      </c>
    </row>
    <row r="38" spans="1:6">
      <c r="D38" s="15"/>
      <c r="E38" s="15"/>
      <c r="F38" s="18">
        <v>15917.29</v>
      </c>
    </row>
    <row r="39" spans="1:6">
      <c r="B39">
        <f>SUM(B8:B38)</f>
        <v>15802.660000000005</v>
      </c>
    </row>
    <row r="40" spans="1:6">
      <c r="B40">
        <f>B18+B16+B13+B9+B8</f>
        <v>3122.39</v>
      </c>
    </row>
    <row r="42" spans="1:6">
      <c r="B42">
        <f>B39-B40</f>
        <v>12680.270000000006</v>
      </c>
      <c r="C42">
        <f>B44-L7</f>
        <v>18810.420000000013</v>
      </c>
    </row>
    <row r="44" spans="1:6">
      <c r="B44">
        <f>SUM(B8:B40)</f>
        <v>34727.710000000014</v>
      </c>
    </row>
  </sheetData>
  <sortState xmlns:xlrd2="http://schemas.microsoft.com/office/spreadsheetml/2017/richdata2" ref="A8:B37">
    <sortCondition ref="A8:A37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040D2-61A9-4361-995A-E4140C7148E2}">
  <dimension ref="A1:S14"/>
  <sheetViews>
    <sheetView workbookViewId="0">
      <selection activeCell="J20" sqref="J20"/>
    </sheetView>
  </sheetViews>
  <sheetFormatPr defaultRowHeight="15"/>
  <cols>
    <col min="8" max="8" width="7.5703125" bestFit="1" customWidth="1"/>
    <col min="14" max="14" width="15.28515625" bestFit="1" customWidth="1"/>
    <col min="15" max="15" width="12.7109375" bestFit="1" customWidth="1"/>
    <col min="16" max="16" width="23.28515625" bestFit="1" customWidth="1"/>
    <col min="17" max="17" width="15.28515625" bestFit="1" customWidth="1"/>
    <col min="18" max="18" width="11.85546875" bestFit="1" customWidth="1"/>
    <col min="19" max="19" width="11" bestFit="1" customWidth="1"/>
  </cols>
  <sheetData>
    <row r="1" spans="1:19">
      <c r="A1" s="147" t="s">
        <v>22</v>
      </c>
      <c r="B1" s="147"/>
      <c r="C1" s="147"/>
      <c r="D1" s="147"/>
      <c r="E1" s="147"/>
      <c r="F1" s="147" t="s">
        <v>187</v>
      </c>
      <c r="G1" s="147"/>
      <c r="H1" s="15" t="s">
        <v>25</v>
      </c>
      <c r="I1" s="147" t="s">
        <v>188</v>
      </c>
      <c r="J1" s="147"/>
      <c r="K1" s="147"/>
      <c r="L1" s="147" t="s">
        <v>189</v>
      </c>
      <c r="M1" s="147"/>
      <c r="N1" s="15" t="s">
        <v>190</v>
      </c>
      <c r="O1" s="15" t="s">
        <v>191</v>
      </c>
      <c r="P1" s="15" t="s">
        <v>192</v>
      </c>
      <c r="Q1" s="15" t="s">
        <v>193</v>
      </c>
      <c r="R1" s="15"/>
      <c r="S1" s="16" t="s">
        <v>194</v>
      </c>
    </row>
    <row r="2" spans="1:19">
      <c r="A2" s="147" t="s">
        <v>26</v>
      </c>
      <c r="B2" s="147"/>
      <c r="C2" s="147"/>
      <c r="D2" s="147"/>
      <c r="E2" s="147"/>
      <c r="F2" s="147" t="s">
        <v>195</v>
      </c>
      <c r="G2" s="147"/>
      <c r="H2" s="15" t="s">
        <v>29</v>
      </c>
      <c r="I2" s="148">
        <v>117.43</v>
      </c>
      <c r="J2" s="148"/>
      <c r="K2" s="148"/>
      <c r="L2" s="148"/>
      <c r="M2" s="148"/>
      <c r="N2" s="17">
        <v>49.11</v>
      </c>
      <c r="O2" s="17">
        <v>1048.8</v>
      </c>
      <c r="P2" s="17"/>
      <c r="Q2" s="17">
        <v>48.2</v>
      </c>
      <c r="R2" s="18">
        <v>1263.54</v>
      </c>
      <c r="S2" s="13">
        <f>I2+N2+P2+Q2</f>
        <v>214.74</v>
      </c>
    </row>
    <row r="3" spans="1:19">
      <c r="A3" s="147" t="s">
        <v>30</v>
      </c>
      <c r="B3" s="147"/>
      <c r="C3" s="147"/>
      <c r="D3" s="147"/>
      <c r="E3" s="147"/>
      <c r="F3" s="147" t="s">
        <v>196</v>
      </c>
      <c r="G3" s="147"/>
      <c r="H3" s="15" t="s">
        <v>29</v>
      </c>
      <c r="I3" s="148">
        <v>114.38</v>
      </c>
      <c r="J3" s="148"/>
      <c r="K3" s="148"/>
      <c r="L3" s="148"/>
      <c r="M3" s="148"/>
      <c r="N3" s="17">
        <v>49.01</v>
      </c>
      <c r="O3" s="17">
        <v>1039.8</v>
      </c>
      <c r="P3" s="17"/>
      <c r="Q3" s="17">
        <v>48.13</v>
      </c>
      <c r="R3" s="18">
        <v>1251.32</v>
      </c>
      <c r="S3" s="13">
        <f t="shared" ref="S3:S13" si="0">I3+N3+P3+Q3</f>
        <v>211.51999999999998</v>
      </c>
    </row>
    <row r="4" spans="1:19">
      <c r="A4" s="147" t="s">
        <v>39</v>
      </c>
      <c r="B4" s="147"/>
      <c r="C4" s="147"/>
      <c r="D4" s="147"/>
      <c r="E4" s="147"/>
      <c r="F4" s="147" t="s">
        <v>197</v>
      </c>
      <c r="G4" s="147"/>
      <c r="H4" s="15" t="s">
        <v>29</v>
      </c>
      <c r="I4" s="148">
        <v>79</v>
      </c>
      <c r="J4" s="148"/>
      <c r="K4" s="148"/>
      <c r="L4" s="148"/>
      <c r="M4" s="148"/>
      <c r="N4" s="17">
        <v>200.91</v>
      </c>
      <c r="O4" s="17">
        <v>1233.4100000000001</v>
      </c>
      <c r="P4" s="17">
        <v>14.77</v>
      </c>
      <c r="Q4" s="17">
        <v>44.3</v>
      </c>
      <c r="R4" s="18">
        <v>1572.39</v>
      </c>
      <c r="S4" s="13">
        <f t="shared" si="0"/>
        <v>338.97999999999996</v>
      </c>
    </row>
    <row r="5" spans="1:19">
      <c r="A5" s="147" t="s">
        <v>72</v>
      </c>
      <c r="B5" s="147"/>
      <c r="C5" s="147"/>
      <c r="D5" s="147"/>
      <c r="E5" s="147"/>
      <c r="F5" s="147" t="s">
        <v>198</v>
      </c>
      <c r="G5" s="147"/>
      <c r="H5" s="15" t="s">
        <v>29</v>
      </c>
      <c r="I5" s="148">
        <v>216.53</v>
      </c>
      <c r="J5" s="148"/>
      <c r="K5" s="148"/>
      <c r="L5" s="148"/>
      <c r="M5" s="148"/>
      <c r="N5" s="17"/>
      <c r="O5" s="17">
        <v>185.36</v>
      </c>
      <c r="P5" s="17"/>
      <c r="Q5" s="17">
        <v>48.81</v>
      </c>
      <c r="R5" s="18">
        <v>450.7</v>
      </c>
      <c r="S5" s="13">
        <f t="shared" si="0"/>
        <v>265.34000000000003</v>
      </c>
    </row>
    <row r="6" spans="1:19">
      <c r="A6" s="147" t="s">
        <v>74</v>
      </c>
      <c r="B6" s="147"/>
      <c r="C6" s="147"/>
      <c r="D6" s="147"/>
      <c r="E6" s="147"/>
      <c r="F6" s="147" t="s">
        <v>199</v>
      </c>
      <c r="G6" s="147"/>
      <c r="H6" s="15" t="s">
        <v>29</v>
      </c>
      <c r="I6" s="148">
        <v>124.1</v>
      </c>
      <c r="J6" s="148"/>
      <c r="K6" s="148"/>
      <c r="L6" s="148"/>
      <c r="M6" s="148"/>
      <c r="N6" s="17">
        <v>72.69</v>
      </c>
      <c r="O6" s="17">
        <v>1809.59</v>
      </c>
      <c r="P6" s="17"/>
      <c r="Q6" s="17">
        <v>48.91</v>
      </c>
      <c r="R6" s="18">
        <v>2055.29</v>
      </c>
      <c r="S6" s="13">
        <f t="shared" si="0"/>
        <v>245.7</v>
      </c>
    </row>
    <row r="7" spans="1:19">
      <c r="A7" s="147" t="s">
        <v>75</v>
      </c>
      <c r="B7" s="147"/>
      <c r="C7" s="147"/>
      <c r="D7" s="147"/>
      <c r="E7" s="147"/>
      <c r="F7" s="147" t="s">
        <v>200</v>
      </c>
      <c r="G7" s="147"/>
      <c r="H7" s="15" t="s">
        <v>29</v>
      </c>
      <c r="I7" s="148">
        <v>123.15</v>
      </c>
      <c r="J7" s="148"/>
      <c r="K7" s="148"/>
      <c r="L7" s="148"/>
      <c r="M7" s="148"/>
      <c r="N7" s="17">
        <v>49.47</v>
      </c>
      <c r="O7" s="17">
        <v>1064.92</v>
      </c>
      <c r="P7" s="17"/>
      <c r="Q7" s="17">
        <v>48.53</v>
      </c>
      <c r="R7" s="18">
        <v>1286.07</v>
      </c>
      <c r="S7" s="13">
        <f t="shared" si="0"/>
        <v>221.15</v>
      </c>
    </row>
    <row r="8" spans="1:19">
      <c r="A8" s="147" t="s">
        <v>88</v>
      </c>
      <c r="B8" s="147"/>
      <c r="C8" s="147"/>
      <c r="D8" s="147"/>
      <c r="E8" s="147"/>
      <c r="F8" s="147" t="s">
        <v>201</v>
      </c>
      <c r="G8" s="147"/>
      <c r="H8" s="15" t="s">
        <v>29</v>
      </c>
      <c r="I8" s="148">
        <v>105.09</v>
      </c>
      <c r="J8" s="148"/>
      <c r="K8" s="148"/>
      <c r="L8" s="148"/>
      <c r="M8" s="148"/>
      <c r="N8" s="17">
        <v>49.36</v>
      </c>
      <c r="O8" s="17">
        <v>1041.31</v>
      </c>
      <c r="P8" s="17"/>
      <c r="Q8" s="17">
        <v>47.86</v>
      </c>
      <c r="R8" s="18">
        <v>1243.6199999999999</v>
      </c>
      <c r="S8" s="13">
        <f t="shared" si="0"/>
        <v>202.31</v>
      </c>
    </row>
    <row r="9" spans="1:19">
      <c r="A9" s="147" t="s">
        <v>91</v>
      </c>
      <c r="B9" s="147"/>
      <c r="C9" s="147"/>
      <c r="D9" s="147"/>
      <c r="E9" s="147"/>
      <c r="F9" s="147" t="s">
        <v>202</v>
      </c>
      <c r="G9" s="147"/>
      <c r="H9" s="15" t="s">
        <v>29</v>
      </c>
      <c r="I9" s="148">
        <v>210.7</v>
      </c>
      <c r="J9" s="148"/>
      <c r="K9" s="148"/>
      <c r="L9" s="148"/>
      <c r="M9" s="148"/>
      <c r="N9" s="17">
        <v>69.349999999999994</v>
      </c>
      <c r="O9" s="17">
        <v>1309.1099999999999</v>
      </c>
      <c r="P9" s="17"/>
      <c r="Q9" s="17">
        <v>74.69</v>
      </c>
      <c r="R9" s="18">
        <v>1663.85</v>
      </c>
      <c r="S9" s="13">
        <f t="shared" si="0"/>
        <v>354.73999999999995</v>
      </c>
    </row>
    <row r="10" spans="1:19">
      <c r="A10" s="147" t="s">
        <v>117</v>
      </c>
      <c r="B10" s="147"/>
      <c r="C10" s="147"/>
      <c r="D10" s="147"/>
      <c r="E10" s="147"/>
      <c r="F10" s="147" t="s">
        <v>203</v>
      </c>
      <c r="G10" s="147"/>
      <c r="H10" s="15" t="s">
        <v>29</v>
      </c>
      <c r="I10" s="148">
        <v>115.15</v>
      </c>
      <c r="J10" s="148"/>
      <c r="K10" s="148"/>
      <c r="L10" s="148">
        <v>150.85</v>
      </c>
      <c r="M10" s="148"/>
      <c r="N10" s="17">
        <v>22.61</v>
      </c>
      <c r="O10" s="17">
        <v>1615.66</v>
      </c>
      <c r="P10" s="17"/>
      <c r="Q10" s="17">
        <v>37.25</v>
      </c>
      <c r="R10" s="18">
        <v>1941.52</v>
      </c>
      <c r="S10" s="13">
        <f t="shared" si="0"/>
        <v>175.01</v>
      </c>
    </row>
    <row r="11" spans="1:19">
      <c r="A11" s="147" t="s">
        <v>152</v>
      </c>
      <c r="B11" s="147"/>
      <c r="C11" s="147"/>
      <c r="D11" s="147"/>
      <c r="E11" s="147"/>
      <c r="F11" s="147" t="s">
        <v>204</v>
      </c>
      <c r="G11" s="147"/>
      <c r="H11" s="15" t="s">
        <v>29</v>
      </c>
      <c r="I11" s="148">
        <v>185.04</v>
      </c>
      <c r="J11" s="148"/>
      <c r="K11" s="148"/>
      <c r="L11" s="148"/>
      <c r="M11" s="148"/>
      <c r="N11" s="17">
        <v>92.73</v>
      </c>
      <c r="O11" s="17">
        <v>1331.38</v>
      </c>
      <c r="P11" s="17"/>
      <c r="Q11" s="17">
        <v>67.61</v>
      </c>
      <c r="R11" s="18">
        <v>1676.76</v>
      </c>
      <c r="S11" s="13">
        <f t="shared" si="0"/>
        <v>345.38</v>
      </c>
    </row>
    <row r="12" spans="1:19">
      <c r="A12" s="147" t="s">
        <v>167</v>
      </c>
      <c r="B12" s="147"/>
      <c r="C12" s="147"/>
      <c r="D12" s="147"/>
      <c r="E12" s="147"/>
      <c r="F12" s="147" t="s">
        <v>205</v>
      </c>
      <c r="G12" s="147"/>
      <c r="H12" s="15" t="s">
        <v>29</v>
      </c>
      <c r="I12" s="148">
        <v>131.80000000000001</v>
      </c>
      <c r="J12" s="148"/>
      <c r="K12" s="148"/>
      <c r="L12" s="148"/>
      <c r="M12" s="148"/>
      <c r="N12" s="17"/>
      <c r="O12" s="17">
        <v>368.1</v>
      </c>
      <c r="P12" s="17"/>
      <c r="Q12" s="17">
        <v>61.55</v>
      </c>
      <c r="R12" s="18">
        <v>561.45000000000005</v>
      </c>
      <c r="S12" s="13">
        <f t="shared" si="0"/>
        <v>193.35000000000002</v>
      </c>
    </row>
    <row r="13" spans="1:19">
      <c r="A13" s="147" t="s">
        <v>168</v>
      </c>
      <c r="B13" s="147"/>
      <c r="C13" s="147"/>
      <c r="D13" s="147"/>
      <c r="E13" s="147"/>
      <c r="F13" s="147" t="s">
        <v>206</v>
      </c>
      <c r="G13" s="147"/>
      <c r="H13" s="15" t="s">
        <v>29</v>
      </c>
      <c r="I13" s="148">
        <v>198.78</v>
      </c>
      <c r="J13" s="148"/>
      <c r="K13" s="148"/>
      <c r="L13" s="148"/>
      <c r="M13" s="148"/>
      <c r="N13" s="17">
        <v>69.19</v>
      </c>
      <c r="O13" s="17">
        <v>1272.8</v>
      </c>
      <c r="P13" s="17"/>
      <c r="Q13" s="17">
        <v>75.5</v>
      </c>
      <c r="R13" s="18">
        <v>1616.27</v>
      </c>
      <c r="S13" s="13">
        <f t="shared" si="0"/>
        <v>343.47</v>
      </c>
    </row>
    <row r="14" spans="1:19">
      <c r="A14" s="149"/>
      <c r="B14" s="149"/>
      <c r="C14" s="149"/>
      <c r="D14" s="149"/>
      <c r="E14" s="149"/>
      <c r="F14" s="149"/>
      <c r="G14" s="149"/>
      <c r="H14" s="149"/>
      <c r="I14" s="150">
        <v>1721.15</v>
      </c>
      <c r="J14" s="150"/>
      <c r="K14" s="150"/>
      <c r="L14" s="150">
        <v>182.19</v>
      </c>
      <c r="M14" s="150"/>
      <c r="N14" s="19">
        <v>724.43</v>
      </c>
      <c r="O14" s="19">
        <v>13320.24</v>
      </c>
      <c r="P14" s="19">
        <v>14.77</v>
      </c>
      <c r="Q14" s="19">
        <v>651.34</v>
      </c>
      <c r="R14" s="19">
        <v>16614.12</v>
      </c>
      <c r="S14" s="20">
        <f>SUM(S2:S13)</f>
        <v>3111.6899999999996</v>
      </c>
    </row>
  </sheetData>
  <mergeCells count="55">
    <mergeCell ref="A13:E13"/>
    <mergeCell ref="F13:G13"/>
    <mergeCell ref="I13:K13"/>
    <mergeCell ref="L13:M13"/>
    <mergeCell ref="A14:H14"/>
    <mergeCell ref="I14:K14"/>
    <mergeCell ref="L14:M14"/>
    <mergeCell ref="A11:E11"/>
    <mergeCell ref="F11:G11"/>
    <mergeCell ref="I11:K11"/>
    <mergeCell ref="L11:M11"/>
    <mergeCell ref="A12:E12"/>
    <mergeCell ref="F12:G12"/>
    <mergeCell ref="I12:K12"/>
    <mergeCell ref="L12:M12"/>
    <mergeCell ref="A9:E9"/>
    <mergeCell ref="F9:G9"/>
    <mergeCell ref="I9:K9"/>
    <mergeCell ref="L9:M9"/>
    <mergeCell ref="A10:E10"/>
    <mergeCell ref="F10:G10"/>
    <mergeCell ref="I10:K10"/>
    <mergeCell ref="L10:M10"/>
    <mergeCell ref="A7:E7"/>
    <mergeCell ref="F7:G7"/>
    <mergeCell ref="I7:K7"/>
    <mergeCell ref="L7:M7"/>
    <mergeCell ref="A8:E8"/>
    <mergeCell ref="F8:G8"/>
    <mergeCell ref="I8:K8"/>
    <mergeCell ref="L8:M8"/>
    <mergeCell ref="A5:E5"/>
    <mergeCell ref="F5:G5"/>
    <mergeCell ref="I5:K5"/>
    <mergeCell ref="L5:M5"/>
    <mergeCell ref="A6:E6"/>
    <mergeCell ref="F6:G6"/>
    <mergeCell ref="I6:K6"/>
    <mergeCell ref="L6:M6"/>
    <mergeCell ref="A3:E3"/>
    <mergeCell ref="F3:G3"/>
    <mergeCell ref="I3:K3"/>
    <mergeCell ref="L3:M3"/>
    <mergeCell ref="A4:E4"/>
    <mergeCell ref="F4:G4"/>
    <mergeCell ref="I4:K4"/>
    <mergeCell ref="L4:M4"/>
    <mergeCell ref="A1:E1"/>
    <mergeCell ref="F1:G1"/>
    <mergeCell ref="I1:K1"/>
    <mergeCell ref="L1:M1"/>
    <mergeCell ref="A2:E2"/>
    <mergeCell ref="F2:G2"/>
    <mergeCell ref="I2:K2"/>
    <mergeCell ref="L2:M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7D3A-A3AD-4A50-AA23-0A8517E71775}">
  <dimension ref="XEH1:XEK34"/>
  <sheetViews>
    <sheetView topLeftCell="XEH19" workbookViewId="0">
      <selection activeCell="XEI34" sqref="XEI34"/>
    </sheetView>
  </sheetViews>
  <sheetFormatPr defaultRowHeight="15" customHeight="1"/>
  <cols>
    <col min="16362" max="16362" width="63.28515625" bestFit="1" customWidth="1"/>
    <col min="16363" max="16363" width="16.85546875" bestFit="1" customWidth="1"/>
    <col min="16364" max="16364" width="15.140625" bestFit="1" customWidth="1"/>
  </cols>
  <sheetData>
    <row r="1" spans="16362:16364" ht="15" customHeight="1" thickBot="1">
      <c r="XEH1" s="78" t="s">
        <v>377</v>
      </c>
    </row>
    <row r="2" spans="16362:16364" ht="15" customHeight="1">
      <c r="XEH2" s="79" t="s">
        <v>378</v>
      </c>
    </row>
    <row r="3" spans="16362:16364" ht="15" customHeight="1">
      <c r="XEH3" s="80" t="s">
        <v>379</v>
      </c>
    </row>
    <row r="4" spans="16362:16364" ht="15" customHeight="1">
      <c r="XEH4" s="80" t="s">
        <v>380</v>
      </c>
    </row>
    <row r="5" spans="16362:16364" ht="15" customHeight="1">
      <c r="XEH5" s="81" t="s">
        <v>381</v>
      </c>
    </row>
    <row r="6" spans="16362:16364" ht="15" customHeight="1">
      <c r="XEH6" s="81" t="s">
        <v>382</v>
      </c>
    </row>
    <row r="7" spans="16362:16364" ht="15" customHeight="1">
      <c r="XEH7" s="82" t="s">
        <v>383</v>
      </c>
    </row>
    <row r="8" spans="16362:16364" ht="15" customHeight="1">
      <c r="XEH8" s="81" t="s">
        <v>384</v>
      </c>
    </row>
    <row r="9" spans="16362:16364" ht="15" customHeight="1">
      <c r="XEH9" s="81" t="s">
        <v>385</v>
      </c>
    </row>
    <row r="10" spans="16362:16364" ht="15" customHeight="1">
      <c r="XEH10" s="81" t="s">
        <v>386</v>
      </c>
    </row>
    <row r="11" spans="16362:16364" ht="15" customHeight="1">
      <c r="XEH11" s="81" t="s">
        <v>387</v>
      </c>
    </row>
    <row r="12" spans="16362:16364" ht="15" customHeight="1">
      <c r="XEH12" s="81" t="s">
        <v>388</v>
      </c>
    </row>
    <row r="13" spans="16362:16364" ht="15" customHeight="1">
      <c r="XEH13" s="81" t="s">
        <v>389</v>
      </c>
    </row>
    <row r="14" spans="16362:16364" ht="15" customHeight="1">
      <c r="XEH14" s="81" t="s">
        <v>390</v>
      </c>
    </row>
    <row r="15" spans="16362:16364" ht="15" customHeight="1" thickBot="1">
      <c r="XEH15" s="82" t="s">
        <v>391</v>
      </c>
    </row>
    <row r="16" spans="16362:16364" ht="15" customHeight="1" thickBot="1">
      <c r="XEH16" s="88" t="s">
        <v>392</v>
      </c>
      <c r="XEI16" s="88" t="s">
        <v>393</v>
      </c>
      <c r="XEJ16" s="89"/>
    </row>
    <row r="17" spans="16362:16365" ht="15" customHeight="1">
      <c r="XEH17" s="85" t="s">
        <v>394</v>
      </c>
      <c r="XEI17" s="86">
        <v>339404.33</v>
      </c>
      <c r="XEJ17" s="83"/>
    </row>
    <row r="18" spans="16362:16365" ht="15" customHeight="1" thickBot="1">
      <c r="XEH18" s="84" t="s">
        <v>395</v>
      </c>
      <c r="XEI18" s="84" t="s">
        <v>396</v>
      </c>
      <c r="XEJ18" s="84" t="s">
        <v>397</v>
      </c>
    </row>
    <row r="19" spans="16362:16365" ht="15" customHeight="1">
      <c r="XEH19" s="85" t="s">
        <v>398</v>
      </c>
      <c r="XEI19" s="86">
        <v>29367.49</v>
      </c>
      <c r="XEJ19" s="86">
        <v>29367.49</v>
      </c>
    </row>
    <row r="20" spans="16362:16365" ht="15" customHeight="1" thickBot="1">
      <c r="XEH20" s="84" t="s">
        <v>399</v>
      </c>
      <c r="XEI20" s="84" t="s">
        <v>393</v>
      </c>
      <c r="XEJ20" s="83"/>
    </row>
    <row r="21" spans="16362:16365" ht="15" customHeight="1">
      <c r="XEH21" s="85" t="s">
        <v>400</v>
      </c>
      <c r="XEI21" s="87">
        <v>87.8</v>
      </c>
      <c r="XEJ21" s="83"/>
    </row>
    <row r="22" spans="16362:16365" ht="15" customHeight="1">
      <c r="XEH22" s="82" t="s">
        <v>401</v>
      </c>
    </row>
    <row r="23" spans="16362:16365" ht="15" customHeight="1">
      <c r="XEH23" s="82" t="s">
        <v>402</v>
      </c>
    </row>
    <row r="24" spans="16362:16365" ht="15" customHeight="1" thickBot="1">
      <c r="XEH24" s="84" t="s">
        <v>403</v>
      </c>
      <c r="XEI24" s="84" t="s">
        <v>393</v>
      </c>
      <c r="XEJ24" s="84" t="s">
        <v>404</v>
      </c>
    </row>
    <row r="25" spans="16362:16365" ht="15" customHeight="1" thickBot="1">
      <c r="XEH25" s="85" t="s">
        <v>405</v>
      </c>
      <c r="XEI25" s="96">
        <v>28435.18</v>
      </c>
      <c r="XEJ25" s="87" t="s">
        <v>406</v>
      </c>
    </row>
    <row r="26" spans="16362:16365" ht="15" customHeight="1" thickBot="1">
      <c r="XEH26" s="90" t="s">
        <v>407</v>
      </c>
      <c r="XEI26" s="97">
        <v>932.31</v>
      </c>
      <c r="XEJ26" s="91" t="s">
        <v>406</v>
      </c>
    </row>
    <row r="27" spans="16362:16365" ht="15" customHeight="1" thickBot="1">
      <c r="XEH27" s="85" t="s">
        <v>408</v>
      </c>
      <c r="XEI27" s="96">
        <v>66185.75</v>
      </c>
      <c r="XEJ27" s="87" t="s">
        <v>406</v>
      </c>
    </row>
    <row r="28" spans="16362:16365" ht="15" customHeight="1" thickBot="1">
      <c r="XEH28" s="90" t="s">
        <v>409</v>
      </c>
      <c r="XEI28" s="96">
        <v>1695.11</v>
      </c>
      <c r="XEJ28" s="91" t="s">
        <v>406</v>
      </c>
    </row>
    <row r="29" spans="16362:16365" ht="15" customHeight="1" thickBot="1">
      <c r="XEH29" s="85" t="s">
        <v>410</v>
      </c>
      <c r="XEI29" s="96">
        <v>8273.2099999999991</v>
      </c>
      <c r="XEJ29" s="87" t="s">
        <v>406</v>
      </c>
      <c r="XEK29" s="99">
        <f>XEI29+XEI30+XEI31+XEI32+XEI33</f>
        <v>19193.84</v>
      </c>
    </row>
    <row r="30" spans="16362:16365" ht="15" customHeight="1" thickBot="1">
      <c r="XEH30" s="90" t="s">
        <v>411</v>
      </c>
      <c r="XEI30" s="97">
        <v>661.85</v>
      </c>
      <c r="XEJ30" s="91" t="s">
        <v>406</v>
      </c>
    </row>
    <row r="31" spans="16362:16365" ht="15" customHeight="1" thickBot="1">
      <c r="XEH31" s="85" t="s">
        <v>412</v>
      </c>
      <c r="XEI31" s="96">
        <v>3309.28</v>
      </c>
      <c r="XEJ31" s="87" t="s">
        <v>406</v>
      </c>
    </row>
    <row r="32" spans="16362:16365" ht="15" customHeight="1" thickBot="1">
      <c r="XEH32" s="90" t="s">
        <v>413</v>
      </c>
      <c r="XEI32" s="96">
        <v>4963.93</v>
      </c>
      <c r="XEJ32" s="91" t="s">
        <v>406</v>
      </c>
    </row>
    <row r="33" spans="16362:16364" ht="15" customHeight="1" thickBot="1">
      <c r="XEH33" s="85" t="s">
        <v>414</v>
      </c>
      <c r="XEI33" s="96">
        <v>1985.57</v>
      </c>
      <c r="XEJ33" s="87" t="s">
        <v>406</v>
      </c>
    </row>
    <row r="34" spans="16362:16364" ht="15" customHeight="1">
      <c r="XEH34" s="90" t="s">
        <v>415</v>
      </c>
      <c r="XEI34" s="92">
        <v>10237.61</v>
      </c>
      <c r="XEJ34" s="91" t="s">
        <v>406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391C-1C8E-4B84-9061-DA79C9DBB904}">
  <dimension ref="A1:H19"/>
  <sheetViews>
    <sheetView zoomScale="130" zoomScaleNormal="130" workbookViewId="0">
      <selection activeCell="H4" sqref="H4"/>
    </sheetView>
  </sheetViews>
  <sheetFormatPr defaultRowHeight="15" customHeight="1"/>
  <cols>
    <col min="3" max="3" width="34.28515625" bestFit="1" customWidth="1"/>
    <col min="8" max="8" width="10" bestFit="1" customWidth="1"/>
  </cols>
  <sheetData>
    <row r="1" spans="1:8" ht="15" customHeight="1" thickBot="1">
      <c r="A1" s="134" t="s">
        <v>416</v>
      </c>
      <c r="B1" s="135"/>
      <c r="C1" s="135"/>
      <c r="D1" s="136"/>
      <c r="E1" s="119" t="s">
        <v>417</v>
      </c>
      <c r="F1" s="137" t="s">
        <v>418</v>
      </c>
      <c r="G1" s="120"/>
      <c r="H1" s="121"/>
    </row>
    <row r="2" spans="1:8" ht="15" customHeight="1" thickBot="1">
      <c r="A2" s="101"/>
      <c r="B2" s="140" t="s">
        <v>419</v>
      </c>
      <c r="C2" s="141"/>
      <c r="D2" s="144" t="s">
        <v>420</v>
      </c>
      <c r="E2" s="144" t="s">
        <v>421</v>
      </c>
      <c r="F2" s="138"/>
      <c r="G2" s="145" t="s">
        <v>399</v>
      </c>
      <c r="H2" s="146"/>
    </row>
    <row r="3" spans="1:8" ht="15" customHeight="1" thickBot="1">
      <c r="A3" s="101" t="e" vm="1">
        <v>#VALUE!</v>
      </c>
      <c r="B3" s="142"/>
      <c r="C3" s="143"/>
      <c r="D3" s="139"/>
      <c r="E3" s="139"/>
      <c r="F3" s="139"/>
      <c r="G3" s="145" t="s">
        <v>422</v>
      </c>
      <c r="H3" s="146"/>
    </row>
    <row r="4" spans="1:8" ht="15" customHeight="1" thickBot="1">
      <c r="A4" s="102" t="e" vm="1">
        <v>#VALUE!</v>
      </c>
      <c r="B4" s="132" t="s">
        <v>423</v>
      </c>
      <c r="C4" s="133"/>
      <c r="D4" s="103"/>
      <c r="E4" s="104">
        <v>131312.38</v>
      </c>
      <c r="F4" s="103">
        <v>87.8</v>
      </c>
      <c r="G4" s="105"/>
      <c r="H4" s="106">
        <v>131224.57999999999</v>
      </c>
    </row>
    <row r="5" spans="1:8" ht="15" customHeight="1" thickBot="1">
      <c r="A5" s="102"/>
      <c r="B5" s="107" t="e" vm="1">
        <v>#VALUE!</v>
      </c>
      <c r="C5" s="108" t="s">
        <v>424</v>
      </c>
      <c r="D5" s="109"/>
      <c r="E5" s="110">
        <v>29367.49</v>
      </c>
      <c r="F5" s="109">
        <v>87.8</v>
      </c>
      <c r="G5" s="105"/>
      <c r="H5" s="106">
        <v>29279.69</v>
      </c>
    </row>
    <row r="6" spans="1:8" ht="15" customHeight="1" thickBot="1">
      <c r="A6" s="111"/>
      <c r="B6" s="107"/>
      <c r="C6" s="108" t="s">
        <v>425</v>
      </c>
      <c r="D6" s="112">
        <v>46082</v>
      </c>
      <c r="E6" s="113">
        <v>28435.18</v>
      </c>
      <c r="F6" s="114">
        <v>87.8</v>
      </c>
      <c r="G6" s="105"/>
      <c r="H6" s="106">
        <v>28347.38</v>
      </c>
    </row>
    <row r="7" spans="1:8" ht="15" customHeight="1" thickBot="1">
      <c r="A7" s="111"/>
      <c r="B7" s="107"/>
      <c r="C7" s="108" t="s">
        <v>426</v>
      </c>
      <c r="D7" s="115">
        <v>46082</v>
      </c>
      <c r="E7" s="116">
        <v>932.31</v>
      </c>
      <c r="F7" s="116" t="s">
        <v>406</v>
      </c>
      <c r="G7" s="105"/>
      <c r="H7" s="117">
        <v>932.31</v>
      </c>
    </row>
    <row r="8" spans="1:8" ht="15" customHeight="1" thickBot="1">
      <c r="A8" s="102"/>
      <c r="B8" s="107" t="e" vm="1">
        <v>#VALUE!</v>
      </c>
      <c r="C8" s="108" t="s">
        <v>427</v>
      </c>
      <c r="D8" s="109"/>
      <c r="E8" s="110">
        <v>78118.47</v>
      </c>
      <c r="F8" s="109" t="s">
        <v>406</v>
      </c>
      <c r="G8" s="105"/>
      <c r="H8" s="106">
        <v>78118.47</v>
      </c>
    </row>
    <row r="9" spans="1:8" ht="15" customHeight="1" thickBot="1">
      <c r="A9" s="111"/>
      <c r="B9" s="107"/>
      <c r="C9" s="108" t="s">
        <v>428</v>
      </c>
      <c r="D9" s="112">
        <v>46082</v>
      </c>
      <c r="E9" s="113">
        <v>66185.75</v>
      </c>
      <c r="F9" s="114" t="s">
        <v>406</v>
      </c>
      <c r="G9" s="105"/>
      <c r="H9" s="106">
        <v>66185.75</v>
      </c>
    </row>
    <row r="10" spans="1:8" ht="15" customHeight="1" thickBot="1">
      <c r="A10" s="111"/>
      <c r="B10" s="107"/>
      <c r="C10" s="108" t="s">
        <v>429</v>
      </c>
      <c r="D10" s="115">
        <v>46082</v>
      </c>
      <c r="E10" s="118">
        <v>1695.11</v>
      </c>
      <c r="F10" s="116" t="s">
        <v>406</v>
      </c>
      <c r="G10" s="105"/>
      <c r="H10" s="106">
        <v>1695.11</v>
      </c>
    </row>
    <row r="11" spans="1:8" ht="15" customHeight="1" thickBot="1">
      <c r="A11" s="111"/>
      <c r="B11" s="107"/>
      <c r="C11" s="108" t="s">
        <v>430</v>
      </c>
      <c r="D11" s="112">
        <v>46082</v>
      </c>
      <c r="E11" s="113">
        <v>10237.61</v>
      </c>
      <c r="F11" s="114" t="s">
        <v>406</v>
      </c>
      <c r="G11" s="105"/>
      <c r="H11" s="106">
        <v>10237.61</v>
      </c>
    </row>
    <row r="12" spans="1:8" ht="15" customHeight="1" thickBot="1">
      <c r="A12" s="102"/>
      <c r="B12" s="107" t="e" vm="1">
        <v>#VALUE!</v>
      </c>
      <c r="C12" s="108" t="s">
        <v>431</v>
      </c>
      <c r="D12" s="109"/>
      <c r="E12" s="110">
        <v>19193.84</v>
      </c>
      <c r="F12" s="109" t="s">
        <v>406</v>
      </c>
      <c r="G12" s="105"/>
      <c r="H12" s="106">
        <v>19193.84</v>
      </c>
    </row>
    <row r="13" spans="1:8" ht="15" customHeight="1" thickBot="1">
      <c r="A13" s="111"/>
      <c r="B13" s="107"/>
      <c r="C13" s="108" t="s">
        <v>432</v>
      </c>
      <c r="D13" s="112">
        <v>46082</v>
      </c>
      <c r="E13" s="113">
        <v>8273.2099999999991</v>
      </c>
      <c r="F13" s="114" t="s">
        <v>406</v>
      </c>
      <c r="G13" s="105"/>
      <c r="H13" s="106">
        <v>8273.2099999999991</v>
      </c>
    </row>
    <row r="14" spans="1:8" ht="15" customHeight="1" thickBot="1">
      <c r="A14" s="111"/>
      <c r="B14" s="107"/>
      <c r="C14" s="108" t="s">
        <v>433</v>
      </c>
      <c r="D14" s="115">
        <v>46082</v>
      </c>
      <c r="E14" s="116">
        <v>661.85</v>
      </c>
      <c r="F14" s="116" t="s">
        <v>406</v>
      </c>
      <c r="G14" s="105"/>
      <c r="H14" s="117">
        <v>661.85</v>
      </c>
    </row>
    <row r="15" spans="1:8" ht="15" customHeight="1" thickBot="1">
      <c r="A15" s="111"/>
      <c r="B15" s="107"/>
      <c r="C15" s="108" t="s">
        <v>434</v>
      </c>
      <c r="D15" s="112">
        <v>46082</v>
      </c>
      <c r="E15" s="113">
        <v>3309.28</v>
      </c>
      <c r="F15" s="114" t="s">
        <v>406</v>
      </c>
      <c r="G15" s="105"/>
      <c r="H15" s="106">
        <v>3309.28</v>
      </c>
    </row>
    <row r="16" spans="1:8" ht="15" customHeight="1" thickBot="1">
      <c r="A16" s="111"/>
      <c r="B16" s="107"/>
      <c r="C16" s="108" t="s">
        <v>435</v>
      </c>
      <c r="D16" s="115">
        <v>46082</v>
      </c>
      <c r="E16" s="118">
        <v>4963.93</v>
      </c>
      <c r="F16" s="116" t="s">
        <v>406</v>
      </c>
      <c r="G16" s="105"/>
      <c r="H16" s="106">
        <v>4963.93</v>
      </c>
    </row>
    <row r="17" spans="1:8" ht="15" customHeight="1" thickBot="1">
      <c r="A17" s="111"/>
      <c r="B17" s="107"/>
      <c r="C17" s="108" t="s">
        <v>436</v>
      </c>
      <c r="D17" s="112">
        <v>46082</v>
      </c>
      <c r="E17" s="113">
        <v>1985.57</v>
      </c>
      <c r="F17" s="114" t="s">
        <v>406</v>
      </c>
      <c r="G17" s="105"/>
      <c r="H17" s="106">
        <v>1985.57</v>
      </c>
    </row>
    <row r="18" spans="1:8" ht="15" customHeight="1" thickBot="1">
      <c r="A18" s="102"/>
      <c r="B18" s="107" t="e" vm="1">
        <v>#VALUE!</v>
      </c>
      <c r="C18" s="108" t="s">
        <v>437</v>
      </c>
      <c r="D18" s="109"/>
      <c r="E18" s="110">
        <v>4632.58</v>
      </c>
      <c r="F18" s="109" t="s">
        <v>406</v>
      </c>
      <c r="G18" s="105"/>
      <c r="H18" s="106">
        <v>4632.58</v>
      </c>
    </row>
    <row r="19" spans="1:8" ht="15" customHeight="1" thickBot="1">
      <c r="A19" s="111"/>
      <c r="B19" s="107"/>
      <c r="C19" s="108" t="s">
        <v>438</v>
      </c>
      <c r="D19" s="112">
        <v>46082</v>
      </c>
      <c r="E19" s="113">
        <v>4632.58</v>
      </c>
      <c r="F19" s="114" t="s">
        <v>406</v>
      </c>
      <c r="G19" s="105"/>
      <c r="H19" s="106">
        <v>4632.58</v>
      </c>
    </row>
  </sheetData>
  <mergeCells count="8">
    <mergeCell ref="G2:H2"/>
    <mergeCell ref="G3:H3"/>
    <mergeCell ref="B4:C4"/>
    <mergeCell ref="A1:D1"/>
    <mergeCell ref="F1:F3"/>
    <mergeCell ref="B2:C3"/>
    <mergeCell ref="D2:D3"/>
    <mergeCell ref="E2:E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4792-B0CC-4BB4-BCE8-58B584B90047}">
  <dimension ref="A1:F146"/>
  <sheetViews>
    <sheetView workbookViewId="0">
      <selection activeCell="I142" sqref="I142"/>
    </sheetView>
  </sheetViews>
  <sheetFormatPr defaultRowHeight="15"/>
  <cols>
    <col min="1" max="1" width="5" bestFit="1" customWidth="1"/>
    <col min="2" max="2" width="39.42578125" bestFit="1" customWidth="1"/>
  </cols>
  <sheetData>
    <row r="1" spans="1:6">
      <c r="A1">
        <v>62</v>
      </c>
      <c r="B1" t="s">
        <v>82</v>
      </c>
      <c r="C1">
        <v>29</v>
      </c>
      <c r="D1">
        <f>A1-E1</f>
        <v>0</v>
      </c>
      <c r="E1">
        <v>62</v>
      </c>
      <c r="F1" t="s">
        <v>240</v>
      </c>
    </row>
    <row r="2" spans="1:6">
      <c r="A2">
        <v>347</v>
      </c>
      <c r="B2" t="s">
        <v>106</v>
      </c>
      <c r="C2">
        <v>19</v>
      </c>
      <c r="D2">
        <f t="shared" ref="D2:D65" si="0">A2-E2</f>
        <v>0</v>
      </c>
      <c r="E2">
        <v>347</v>
      </c>
      <c r="F2" t="s">
        <v>241</v>
      </c>
    </row>
    <row r="3" spans="1:6">
      <c r="A3">
        <v>356</v>
      </c>
      <c r="B3" t="s">
        <v>103</v>
      </c>
      <c r="C3">
        <v>491</v>
      </c>
      <c r="D3">
        <f t="shared" si="0"/>
        <v>0</v>
      </c>
      <c r="E3">
        <v>356</v>
      </c>
      <c r="F3" t="s">
        <v>242</v>
      </c>
    </row>
    <row r="4" spans="1:6">
      <c r="A4">
        <v>454</v>
      </c>
      <c r="B4" t="s">
        <v>54</v>
      </c>
      <c r="C4">
        <v>47</v>
      </c>
      <c r="D4">
        <f t="shared" si="0"/>
        <v>0</v>
      </c>
      <c r="E4">
        <v>454</v>
      </c>
      <c r="F4" t="s">
        <v>243</v>
      </c>
    </row>
    <row r="5" spans="1:6">
      <c r="A5">
        <v>463</v>
      </c>
      <c r="B5" t="s">
        <v>160</v>
      </c>
      <c r="C5">
        <v>53</v>
      </c>
      <c r="D5">
        <f t="shared" si="0"/>
        <v>0</v>
      </c>
      <c r="E5">
        <v>463</v>
      </c>
      <c r="F5" t="s">
        <v>244</v>
      </c>
    </row>
    <row r="6" spans="1:6">
      <c r="A6">
        <v>609</v>
      </c>
      <c r="B6" t="s">
        <v>138</v>
      </c>
      <c r="C6">
        <v>92</v>
      </c>
      <c r="D6">
        <f t="shared" si="0"/>
        <v>0</v>
      </c>
      <c r="E6">
        <v>609</v>
      </c>
      <c r="F6" t="s">
        <v>245</v>
      </c>
    </row>
    <row r="7" spans="1:6">
      <c r="A7">
        <v>905</v>
      </c>
      <c r="B7" t="s">
        <v>113</v>
      </c>
      <c r="C7">
        <v>116</v>
      </c>
      <c r="D7">
        <f t="shared" si="0"/>
        <v>0</v>
      </c>
      <c r="E7">
        <v>905</v>
      </c>
      <c r="F7" t="s">
        <v>246</v>
      </c>
    </row>
    <row r="8" spans="1:6">
      <c r="A8">
        <v>922</v>
      </c>
      <c r="B8" t="s">
        <v>49</v>
      </c>
      <c r="C8">
        <v>643</v>
      </c>
      <c r="D8">
        <f t="shared" si="0"/>
        <v>0</v>
      </c>
      <c r="E8">
        <v>922</v>
      </c>
      <c r="F8" t="s">
        <v>247</v>
      </c>
    </row>
    <row r="9" spans="1:6">
      <c r="A9">
        <v>1111</v>
      </c>
      <c r="B9" t="s">
        <v>134</v>
      </c>
      <c r="C9">
        <v>126</v>
      </c>
      <c r="D9">
        <f t="shared" si="0"/>
        <v>0</v>
      </c>
      <c r="E9">
        <v>1111</v>
      </c>
      <c r="F9" t="s">
        <v>248</v>
      </c>
    </row>
    <row r="10" spans="1:6">
      <c r="A10">
        <v>1153</v>
      </c>
      <c r="B10" t="s">
        <v>150</v>
      </c>
      <c r="C10">
        <v>419</v>
      </c>
      <c r="D10">
        <f t="shared" si="0"/>
        <v>0</v>
      </c>
      <c r="E10">
        <v>1153</v>
      </c>
      <c r="F10" t="s">
        <v>249</v>
      </c>
    </row>
    <row r="11" spans="1:6">
      <c r="A11">
        <v>1164</v>
      </c>
      <c r="B11" t="s">
        <v>132</v>
      </c>
      <c r="C11">
        <v>131</v>
      </c>
      <c r="D11">
        <f t="shared" si="0"/>
        <v>0</v>
      </c>
      <c r="E11">
        <v>1164</v>
      </c>
      <c r="F11" t="s">
        <v>250</v>
      </c>
    </row>
    <row r="12" spans="1:6">
      <c r="A12">
        <v>1221</v>
      </c>
      <c r="B12" t="s">
        <v>60</v>
      </c>
      <c r="C12">
        <v>798</v>
      </c>
      <c r="D12">
        <f t="shared" si="0"/>
        <v>0</v>
      </c>
      <c r="E12">
        <v>1221</v>
      </c>
      <c r="F12" t="s">
        <v>251</v>
      </c>
    </row>
    <row r="13" spans="1:6">
      <c r="A13">
        <v>1230</v>
      </c>
      <c r="B13" t="s">
        <v>130</v>
      </c>
      <c r="C13">
        <v>735</v>
      </c>
      <c r="D13">
        <f t="shared" si="0"/>
        <v>0</v>
      </c>
      <c r="E13">
        <v>1230</v>
      </c>
      <c r="F13" t="s">
        <v>252</v>
      </c>
    </row>
    <row r="14" spans="1:6">
      <c r="A14">
        <v>1255</v>
      </c>
      <c r="B14" t="s">
        <v>159</v>
      </c>
      <c r="C14">
        <v>764</v>
      </c>
      <c r="D14">
        <f t="shared" si="0"/>
        <v>0</v>
      </c>
      <c r="E14">
        <v>1255</v>
      </c>
      <c r="F14" t="s">
        <v>253</v>
      </c>
    </row>
    <row r="15" spans="1:6">
      <c r="A15">
        <v>1261</v>
      </c>
      <c r="B15" t="s">
        <v>136</v>
      </c>
      <c r="C15">
        <v>146</v>
      </c>
      <c r="D15">
        <f t="shared" si="0"/>
        <v>0</v>
      </c>
      <c r="E15">
        <v>1261</v>
      </c>
      <c r="F15" t="s">
        <v>254</v>
      </c>
    </row>
    <row r="16" spans="1:6">
      <c r="A16">
        <v>1264</v>
      </c>
      <c r="B16" t="s">
        <v>122</v>
      </c>
      <c r="C16">
        <v>152</v>
      </c>
      <c r="D16">
        <f t="shared" si="0"/>
        <v>0</v>
      </c>
      <c r="E16">
        <v>1264</v>
      </c>
      <c r="F16" t="s">
        <v>255</v>
      </c>
    </row>
    <row r="17" spans="1:6">
      <c r="A17">
        <v>1265</v>
      </c>
      <c r="B17" t="s">
        <v>131</v>
      </c>
      <c r="C17">
        <v>145</v>
      </c>
      <c r="D17">
        <f t="shared" si="0"/>
        <v>0</v>
      </c>
      <c r="E17">
        <v>1265</v>
      </c>
      <c r="F17" t="s">
        <v>256</v>
      </c>
    </row>
    <row r="18" spans="1:6">
      <c r="A18">
        <v>1266</v>
      </c>
      <c r="B18" t="s">
        <v>162</v>
      </c>
      <c r="C18">
        <v>150</v>
      </c>
      <c r="D18">
        <f t="shared" si="0"/>
        <v>0</v>
      </c>
      <c r="E18">
        <v>1266</v>
      </c>
      <c r="F18" t="s">
        <v>257</v>
      </c>
    </row>
    <row r="19" spans="1:6">
      <c r="A19">
        <v>1285</v>
      </c>
      <c r="B19" t="s">
        <v>58</v>
      </c>
      <c r="C19">
        <v>682</v>
      </c>
      <c r="D19">
        <f t="shared" si="0"/>
        <v>0</v>
      </c>
      <c r="E19">
        <v>1285</v>
      </c>
      <c r="F19" t="s">
        <v>258</v>
      </c>
    </row>
    <row r="20" spans="1:6">
      <c r="A20">
        <v>1286</v>
      </c>
      <c r="B20" t="s">
        <v>133</v>
      </c>
      <c r="C20">
        <v>158</v>
      </c>
      <c r="D20">
        <f t="shared" si="0"/>
        <v>0</v>
      </c>
      <c r="E20">
        <v>1286</v>
      </c>
      <c r="F20" t="s">
        <v>259</v>
      </c>
    </row>
    <row r="21" spans="1:6">
      <c r="A21">
        <v>1287</v>
      </c>
      <c r="B21" t="s">
        <v>153</v>
      </c>
      <c r="C21">
        <v>159</v>
      </c>
      <c r="D21">
        <f t="shared" si="0"/>
        <v>0</v>
      </c>
      <c r="E21">
        <v>1287</v>
      </c>
      <c r="F21" t="s">
        <v>260</v>
      </c>
    </row>
    <row r="22" spans="1:6">
      <c r="A22">
        <v>1470</v>
      </c>
      <c r="B22" t="s">
        <v>126</v>
      </c>
      <c r="C22">
        <v>560</v>
      </c>
      <c r="D22">
        <f t="shared" si="0"/>
        <v>0</v>
      </c>
      <c r="E22">
        <v>1470</v>
      </c>
      <c r="F22" t="s">
        <v>261</v>
      </c>
    </row>
    <row r="23" spans="1:6">
      <c r="A23">
        <v>1505</v>
      </c>
      <c r="B23" t="s">
        <v>94</v>
      </c>
      <c r="C23">
        <v>693</v>
      </c>
      <c r="D23">
        <f t="shared" si="0"/>
        <v>0</v>
      </c>
      <c r="E23">
        <v>1505</v>
      </c>
      <c r="F23" t="s">
        <v>262</v>
      </c>
    </row>
    <row r="24" spans="1:6">
      <c r="A24">
        <v>1520</v>
      </c>
      <c r="B24" t="s">
        <v>166</v>
      </c>
      <c r="C24">
        <v>242</v>
      </c>
      <c r="D24">
        <f t="shared" si="0"/>
        <v>0</v>
      </c>
      <c r="E24">
        <v>1520</v>
      </c>
      <c r="F24" t="s">
        <v>263</v>
      </c>
    </row>
    <row r="25" spans="1:6">
      <c r="A25">
        <v>1521</v>
      </c>
      <c r="B25" t="s">
        <v>102</v>
      </c>
      <c r="C25">
        <v>775</v>
      </c>
      <c r="D25">
        <f t="shared" si="0"/>
        <v>0</v>
      </c>
      <c r="E25">
        <v>1521</v>
      </c>
      <c r="F25" t="s">
        <v>264</v>
      </c>
    </row>
    <row r="26" spans="1:6">
      <c r="A26">
        <v>1530</v>
      </c>
      <c r="B26" t="s">
        <v>124</v>
      </c>
      <c r="C26">
        <v>339</v>
      </c>
      <c r="D26">
        <f t="shared" si="0"/>
        <v>0</v>
      </c>
      <c r="E26">
        <v>1530</v>
      </c>
      <c r="F26" t="s">
        <v>265</v>
      </c>
    </row>
    <row r="27" spans="1:6">
      <c r="A27">
        <v>1667</v>
      </c>
      <c r="B27" t="s">
        <v>112</v>
      </c>
      <c r="C27">
        <v>292</v>
      </c>
      <c r="D27">
        <f t="shared" si="0"/>
        <v>0</v>
      </c>
      <c r="E27">
        <v>1667</v>
      </c>
      <c r="F27" t="s">
        <v>266</v>
      </c>
    </row>
    <row r="28" spans="1:6">
      <c r="A28">
        <v>1777</v>
      </c>
      <c r="B28" t="s">
        <v>182</v>
      </c>
      <c r="C28">
        <v>352</v>
      </c>
      <c r="D28">
        <f t="shared" si="0"/>
        <v>0</v>
      </c>
      <c r="E28">
        <v>1777</v>
      </c>
      <c r="F28" t="s">
        <v>267</v>
      </c>
    </row>
    <row r="29" spans="1:6">
      <c r="A29">
        <v>1786</v>
      </c>
      <c r="B29" t="s">
        <v>148</v>
      </c>
      <c r="C29">
        <v>683</v>
      </c>
      <c r="D29">
        <f t="shared" si="0"/>
        <v>0</v>
      </c>
      <c r="E29">
        <v>1786</v>
      </c>
      <c r="F29" t="s">
        <v>268</v>
      </c>
    </row>
    <row r="30" spans="1:6">
      <c r="A30">
        <v>1835</v>
      </c>
      <c r="B30" t="s">
        <v>173</v>
      </c>
      <c r="C30">
        <v>383</v>
      </c>
      <c r="D30">
        <f t="shared" si="0"/>
        <v>0</v>
      </c>
      <c r="E30">
        <v>1835</v>
      </c>
      <c r="F30" t="s">
        <v>269</v>
      </c>
    </row>
    <row r="31" spans="1:6">
      <c r="A31">
        <v>1862</v>
      </c>
      <c r="B31" t="s">
        <v>64</v>
      </c>
      <c r="C31">
        <v>774</v>
      </c>
      <c r="D31">
        <f t="shared" si="0"/>
        <v>0</v>
      </c>
      <c r="E31">
        <v>1862</v>
      </c>
      <c r="F31" t="s">
        <v>270</v>
      </c>
    </row>
    <row r="32" spans="1:6">
      <c r="A32">
        <v>1864</v>
      </c>
      <c r="B32" t="s">
        <v>165</v>
      </c>
      <c r="C32">
        <v>413</v>
      </c>
      <c r="D32">
        <f t="shared" si="0"/>
        <v>0</v>
      </c>
      <c r="E32">
        <v>1864</v>
      </c>
      <c r="F32" t="s">
        <v>271</v>
      </c>
    </row>
    <row r="33" spans="1:6">
      <c r="A33">
        <v>1963</v>
      </c>
      <c r="B33" t="s">
        <v>83</v>
      </c>
      <c r="C33">
        <v>781</v>
      </c>
      <c r="D33">
        <f t="shared" si="0"/>
        <v>0</v>
      </c>
      <c r="E33">
        <v>1963</v>
      </c>
      <c r="F33" t="s">
        <v>272</v>
      </c>
    </row>
    <row r="34" spans="1:6">
      <c r="A34">
        <v>1990</v>
      </c>
      <c r="B34" t="s">
        <v>36</v>
      </c>
      <c r="C34">
        <v>662</v>
      </c>
      <c r="D34">
        <f t="shared" si="0"/>
        <v>0</v>
      </c>
      <c r="E34">
        <v>1990</v>
      </c>
      <c r="F34" t="s">
        <v>273</v>
      </c>
    </row>
    <row r="35" spans="1:6">
      <c r="A35">
        <v>1991</v>
      </c>
      <c r="B35" t="s">
        <v>99</v>
      </c>
      <c r="C35">
        <v>474</v>
      </c>
      <c r="D35">
        <f t="shared" si="0"/>
        <v>0</v>
      </c>
      <c r="E35">
        <v>1991</v>
      </c>
      <c r="F35" t="s">
        <v>274</v>
      </c>
    </row>
    <row r="36" spans="1:6">
      <c r="A36">
        <v>2004</v>
      </c>
      <c r="B36" t="s">
        <v>117</v>
      </c>
      <c r="C36">
        <v>478</v>
      </c>
      <c r="D36">
        <f t="shared" si="0"/>
        <v>0</v>
      </c>
      <c r="E36">
        <v>2004</v>
      </c>
      <c r="F36" t="s">
        <v>275</v>
      </c>
    </row>
    <row r="37" spans="1:6">
      <c r="A37">
        <v>2015</v>
      </c>
      <c r="B37" t="s">
        <v>120</v>
      </c>
      <c r="C37">
        <v>484</v>
      </c>
      <c r="D37">
        <f t="shared" si="0"/>
        <v>0</v>
      </c>
      <c r="E37">
        <v>2015</v>
      </c>
      <c r="F37" t="s">
        <v>276</v>
      </c>
    </row>
    <row r="38" spans="1:6">
      <c r="A38">
        <v>2020</v>
      </c>
      <c r="B38" t="s">
        <v>84</v>
      </c>
      <c r="C38">
        <v>487</v>
      </c>
      <c r="D38">
        <f t="shared" si="0"/>
        <v>0</v>
      </c>
      <c r="E38">
        <v>2020</v>
      </c>
      <c r="F38" t="s">
        <v>277</v>
      </c>
    </row>
    <row r="39" spans="1:6">
      <c r="A39">
        <v>2041</v>
      </c>
      <c r="B39" t="s">
        <v>111</v>
      </c>
      <c r="C39">
        <v>495</v>
      </c>
      <c r="D39">
        <f t="shared" si="0"/>
        <v>0</v>
      </c>
      <c r="E39">
        <v>2041</v>
      </c>
      <c r="F39" t="s">
        <v>278</v>
      </c>
    </row>
    <row r="40" spans="1:6">
      <c r="A40">
        <v>2047</v>
      </c>
      <c r="B40" t="s">
        <v>154</v>
      </c>
      <c r="C40">
        <v>766</v>
      </c>
      <c r="D40">
        <f t="shared" si="0"/>
        <v>0</v>
      </c>
      <c r="E40">
        <v>2047</v>
      </c>
      <c r="F40" t="s">
        <v>279</v>
      </c>
    </row>
    <row r="41" spans="1:6">
      <c r="A41">
        <v>2059</v>
      </c>
      <c r="B41" t="s">
        <v>168</v>
      </c>
      <c r="C41">
        <v>719</v>
      </c>
      <c r="D41">
        <f t="shared" si="0"/>
        <v>0</v>
      </c>
      <c r="E41">
        <v>2059</v>
      </c>
      <c r="F41" t="s">
        <v>280</v>
      </c>
    </row>
    <row r="42" spans="1:6">
      <c r="A42">
        <v>2068</v>
      </c>
      <c r="B42" t="s">
        <v>92</v>
      </c>
      <c r="C42">
        <v>510</v>
      </c>
      <c r="D42">
        <f t="shared" si="0"/>
        <v>0</v>
      </c>
      <c r="E42">
        <v>2068</v>
      </c>
      <c r="F42" t="s">
        <v>281</v>
      </c>
    </row>
    <row r="43" spans="1:6">
      <c r="A43">
        <v>2087</v>
      </c>
      <c r="B43" t="s">
        <v>141</v>
      </c>
      <c r="C43">
        <v>519</v>
      </c>
      <c r="D43">
        <f t="shared" si="0"/>
        <v>0</v>
      </c>
      <c r="E43">
        <v>2087</v>
      </c>
      <c r="F43" t="s">
        <v>282</v>
      </c>
    </row>
    <row r="44" spans="1:6">
      <c r="A44">
        <v>2098</v>
      </c>
      <c r="B44" t="s">
        <v>115</v>
      </c>
      <c r="C44">
        <v>521</v>
      </c>
      <c r="D44">
        <f t="shared" si="0"/>
        <v>0</v>
      </c>
      <c r="E44">
        <v>2098</v>
      </c>
      <c r="F44" t="s">
        <v>283</v>
      </c>
    </row>
    <row r="45" spans="1:6">
      <c r="A45">
        <v>2110</v>
      </c>
      <c r="B45" t="s">
        <v>118</v>
      </c>
      <c r="C45">
        <v>523</v>
      </c>
      <c r="D45">
        <f t="shared" si="0"/>
        <v>0</v>
      </c>
      <c r="E45">
        <v>2110</v>
      </c>
      <c r="F45" t="s">
        <v>284</v>
      </c>
    </row>
    <row r="46" spans="1:6">
      <c r="A46">
        <v>2114</v>
      </c>
      <c r="B46" t="s">
        <v>68</v>
      </c>
      <c r="C46">
        <v>527</v>
      </c>
      <c r="D46">
        <f t="shared" si="0"/>
        <v>0</v>
      </c>
      <c r="E46">
        <v>2114</v>
      </c>
      <c r="F46" t="s">
        <v>285</v>
      </c>
    </row>
    <row r="47" spans="1:6">
      <c r="A47">
        <v>2135</v>
      </c>
      <c r="B47" t="s">
        <v>101</v>
      </c>
      <c r="C47">
        <v>539</v>
      </c>
      <c r="D47">
        <f t="shared" si="0"/>
        <v>0</v>
      </c>
      <c r="E47">
        <v>2135</v>
      </c>
      <c r="F47" t="s">
        <v>286</v>
      </c>
    </row>
    <row r="48" spans="1:6">
      <c r="A48">
        <v>2143</v>
      </c>
      <c r="B48" t="s">
        <v>145</v>
      </c>
      <c r="C48">
        <v>545</v>
      </c>
      <c r="D48">
        <f t="shared" si="0"/>
        <v>0</v>
      </c>
      <c r="E48">
        <v>2143</v>
      </c>
      <c r="F48" t="s">
        <v>287</v>
      </c>
    </row>
    <row r="49" spans="1:6">
      <c r="A49">
        <v>2176</v>
      </c>
      <c r="B49" t="s">
        <v>74</v>
      </c>
      <c r="C49">
        <v>554</v>
      </c>
      <c r="D49">
        <f t="shared" si="0"/>
        <v>0</v>
      </c>
      <c r="E49">
        <v>2176</v>
      </c>
      <c r="F49" t="s">
        <v>288</v>
      </c>
    </row>
    <row r="50" spans="1:6">
      <c r="A50">
        <v>2181</v>
      </c>
      <c r="B50" t="s">
        <v>93</v>
      </c>
      <c r="C50">
        <v>561</v>
      </c>
      <c r="D50">
        <f t="shared" si="0"/>
        <v>0</v>
      </c>
      <c r="E50">
        <v>2181</v>
      </c>
      <c r="F50" t="s">
        <v>289</v>
      </c>
    </row>
    <row r="51" spans="1:6">
      <c r="A51">
        <v>2247</v>
      </c>
      <c r="B51" t="s">
        <v>137</v>
      </c>
      <c r="C51">
        <v>605</v>
      </c>
      <c r="D51">
        <f t="shared" si="0"/>
        <v>0</v>
      </c>
      <c r="E51">
        <v>2247</v>
      </c>
      <c r="F51" t="s">
        <v>290</v>
      </c>
    </row>
    <row r="52" spans="1:6">
      <c r="A52">
        <v>2261</v>
      </c>
      <c r="B52" t="s">
        <v>39</v>
      </c>
      <c r="C52">
        <v>615</v>
      </c>
      <c r="D52">
        <f t="shared" si="0"/>
        <v>0</v>
      </c>
      <c r="E52">
        <v>2261</v>
      </c>
      <c r="F52" t="s">
        <v>291</v>
      </c>
    </row>
    <row r="53" spans="1:6">
      <c r="A53">
        <v>2268</v>
      </c>
      <c r="B53" t="s">
        <v>158</v>
      </c>
      <c r="C53">
        <v>617</v>
      </c>
      <c r="D53">
        <f t="shared" si="0"/>
        <v>0</v>
      </c>
      <c r="E53">
        <v>2268</v>
      </c>
      <c r="F53" t="s">
        <v>292</v>
      </c>
    </row>
    <row r="54" spans="1:6">
      <c r="A54">
        <v>2277</v>
      </c>
      <c r="B54" t="s">
        <v>105</v>
      </c>
      <c r="C54">
        <v>627</v>
      </c>
      <c r="D54">
        <f t="shared" si="0"/>
        <v>0</v>
      </c>
      <c r="E54">
        <v>2277</v>
      </c>
      <c r="F54" t="s">
        <v>293</v>
      </c>
    </row>
    <row r="55" spans="1:6">
      <c r="A55">
        <v>2278</v>
      </c>
      <c r="B55" t="s">
        <v>110</v>
      </c>
      <c r="C55">
        <v>628</v>
      </c>
      <c r="D55">
        <f t="shared" si="0"/>
        <v>0</v>
      </c>
      <c r="E55">
        <v>2278</v>
      </c>
      <c r="F55" t="s">
        <v>294</v>
      </c>
    </row>
    <row r="56" spans="1:6">
      <c r="A56">
        <v>2296</v>
      </c>
      <c r="B56" t="s">
        <v>140</v>
      </c>
      <c r="C56">
        <v>634</v>
      </c>
      <c r="D56">
        <f t="shared" si="0"/>
        <v>0</v>
      </c>
      <c r="E56">
        <v>2296</v>
      </c>
      <c r="F56" t="s">
        <v>295</v>
      </c>
    </row>
    <row r="57" spans="1:6">
      <c r="A57">
        <v>2303</v>
      </c>
      <c r="B57" t="s">
        <v>45</v>
      </c>
      <c r="C57">
        <v>640</v>
      </c>
      <c r="D57">
        <f t="shared" si="0"/>
        <v>0</v>
      </c>
      <c r="E57">
        <v>2303</v>
      </c>
      <c r="F57" t="s">
        <v>296</v>
      </c>
    </row>
    <row r="58" spans="1:6">
      <c r="A58">
        <v>2309</v>
      </c>
      <c r="B58" t="s">
        <v>146</v>
      </c>
      <c r="C58">
        <v>644</v>
      </c>
      <c r="D58">
        <f t="shared" si="0"/>
        <v>0</v>
      </c>
      <c r="E58">
        <v>2309</v>
      </c>
      <c r="F58" t="s">
        <v>297</v>
      </c>
    </row>
    <row r="59" spans="1:6">
      <c r="A59">
        <v>2317</v>
      </c>
      <c r="B59" t="s">
        <v>152</v>
      </c>
      <c r="C59">
        <v>650</v>
      </c>
      <c r="D59">
        <f t="shared" si="0"/>
        <v>0</v>
      </c>
      <c r="E59">
        <v>2317</v>
      </c>
      <c r="F59" t="s">
        <v>298</v>
      </c>
    </row>
    <row r="60" spans="1:6">
      <c r="A60">
        <v>2319</v>
      </c>
      <c r="B60" t="s">
        <v>89</v>
      </c>
      <c r="C60">
        <v>656</v>
      </c>
      <c r="D60">
        <f t="shared" si="0"/>
        <v>0</v>
      </c>
      <c r="E60">
        <v>2319</v>
      </c>
      <c r="F60" t="s">
        <v>299</v>
      </c>
    </row>
    <row r="61" spans="1:6">
      <c r="A61">
        <v>2320</v>
      </c>
      <c r="B61" t="s">
        <v>179</v>
      </c>
      <c r="C61">
        <v>654</v>
      </c>
      <c r="D61">
        <f t="shared" si="0"/>
        <v>0</v>
      </c>
      <c r="E61">
        <v>2320</v>
      </c>
      <c r="F61" t="s">
        <v>300</v>
      </c>
    </row>
    <row r="62" spans="1:6">
      <c r="A62">
        <v>2321</v>
      </c>
      <c r="B62" t="s">
        <v>172</v>
      </c>
      <c r="C62">
        <v>658</v>
      </c>
      <c r="D62">
        <f t="shared" si="0"/>
        <v>0</v>
      </c>
      <c r="E62">
        <v>2321</v>
      </c>
      <c r="F62" t="s">
        <v>301</v>
      </c>
    </row>
    <row r="63" spans="1:6">
      <c r="A63">
        <v>2325</v>
      </c>
      <c r="B63" t="s">
        <v>157</v>
      </c>
      <c r="C63">
        <v>663</v>
      </c>
      <c r="D63">
        <f t="shared" si="0"/>
        <v>0</v>
      </c>
      <c r="E63">
        <v>2325</v>
      </c>
      <c r="F63" t="s">
        <v>302</v>
      </c>
    </row>
    <row r="64" spans="1:6">
      <c r="A64">
        <v>2331</v>
      </c>
      <c r="B64" t="s">
        <v>88</v>
      </c>
      <c r="C64">
        <v>665</v>
      </c>
      <c r="D64">
        <f t="shared" si="0"/>
        <v>0</v>
      </c>
      <c r="E64">
        <v>2331</v>
      </c>
      <c r="F64" t="s">
        <v>303</v>
      </c>
    </row>
    <row r="65" spans="1:6">
      <c r="A65">
        <v>2332</v>
      </c>
      <c r="B65" t="s">
        <v>26</v>
      </c>
      <c r="C65">
        <v>667</v>
      </c>
      <c r="D65">
        <f t="shared" si="0"/>
        <v>0</v>
      </c>
      <c r="E65">
        <v>2332</v>
      </c>
      <c r="F65" t="s">
        <v>304</v>
      </c>
    </row>
    <row r="66" spans="1:6">
      <c r="A66">
        <v>2334</v>
      </c>
      <c r="B66" t="s">
        <v>70</v>
      </c>
      <c r="C66">
        <v>770</v>
      </c>
      <c r="D66">
        <f t="shared" ref="D66:D129" si="1">A66-E66</f>
        <v>0</v>
      </c>
      <c r="E66">
        <v>2334</v>
      </c>
      <c r="F66" t="s">
        <v>305</v>
      </c>
    </row>
    <row r="67" spans="1:6">
      <c r="A67">
        <v>2335</v>
      </c>
      <c r="B67" t="s">
        <v>91</v>
      </c>
      <c r="C67">
        <v>718</v>
      </c>
      <c r="D67">
        <f t="shared" si="1"/>
        <v>0</v>
      </c>
      <c r="E67">
        <v>2335</v>
      </c>
      <c r="F67" t="s">
        <v>306</v>
      </c>
    </row>
    <row r="68" spans="1:6">
      <c r="A68">
        <v>2338</v>
      </c>
      <c r="B68" t="s">
        <v>67</v>
      </c>
      <c r="C68">
        <v>677</v>
      </c>
      <c r="D68">
        <f t="shared" si="1"/>
        <v>0</v>
      </c>
      <c r="E68">
        <v>2338</v>
      </c>
      <c r="F68" t="s">
        <v>307</v>
      </c>
    </row>
    <row r="69" spans="1:6">
      <c r="A69">
        <v>2339</v>
      </c>
      <c r="B69" t="s">
        <v>34</v>
      </c>
      <c r="C69">
        <v>670</v>
      </c>
      <c r="D69">
        <f t="shared" si="1"/>
        <v>0</v>
      </c>
      <c r="E69">
        <v>2339</v>
      </c>
      <c r="F69" t="s">
        <v>308</v>
      </c>
    </row>
    <row r="70" spans="1:6">
      <c r="A70">
        <v>2340</v>
      </c>
      <c r="B70" t="s">
        <v>156</v>
      </c>
      <c r="C70">
        <v>676</v>
      </c>
      <c r="D70">
        <f t="shared" si="1"/>
        <v>0</v>
      </c>
      <c r="E70">
        <v>2340</v>
      </c>
      <c r="F70" t="s">
        <v>309</v>
      </c>
    </row>
    <row r="71" spans="1:6">
      <c r="A71">
        <v>2341</v>
      </c>
      <c r="B71" t="s">
        <v>114</v>
      </c>
      <c r="C71">
        <v>679</v>
      </c>
      <c r="D71">
        <f t="shared" si="1"/>
        <v>0</v>
      </c>
      <c r="E71">
        <v>2341</v>
      </c>
      <c r="F71" t="s">
        <v>310</v>
      </c>
    </row>
    <row r="72" spans="1:6">
      <c r="A72">
        <v>2342</v>
      </c>
      <c r="B72" t="s">
        <v>75</v>
      </c>
      <c r="C72">
        <v>673</v>
      </c>
      <c r="D72">
        <f t="shared" si="1"/>
        <v>0</v>
      </c>
      <c r="E72">
        <v>2342</v>
      </c>
      <c r="F72" t="s">
        <v>311</v>
      </c>
    </row>
    <row r="73" spans="1:6">
      <c r="A73">
        <v>2343</v>
      </c>
      <c r="B73" t="s">
        <v>30</v>
      </c>
      <c r="C73">
        <v>674</v>
      </c>
      <c r="D73">
        <f t="shared" si="1"/>
        <v>0</v>
      </c>
      <c r="E73">
        <v>2343</v>
      </c>
      <c r="F73" t="s">
        <v>312</v>
      </c>
    </row>
    <row r="74" spans="1:6">
      <c r="A74">
        <v>2366</v>
      </c>
      <c r="B74" t="s">
        <v>62</v>
      </c>
      <c r="C74">
        <v>690</v>
      </c>
      <c r="D74">
        <f t="shared" si="1"/>
        <v>0</v>
      </c>
      <c r="E74">
        <v>2366</v>
      </c>
      <c r="F74" t="s">
        <v>313</v>
      </c>
    </row>
    <row r="75" spans="1:6">
      <c r="A75">
        <v>2369</v>
      </c>
      <c r="B75" t="s">
        <v>169</v>
      </c>
      <c r="C75">
        <v>696</v>
      </c>
      <c r="D75">
        <f t="shared" si="1"/>
        <v>0</v>
      </c>
      <c r="E75">
        <v>2369</v>
      </c>
      <c r="F75" t="s">
        <v>314</v>
      </c>
    </row>
    <row r="76" spans="1:6">
      <c r="A76">
        <v>2370</v>
      </c>
      <c r="B76" t="s">
        <v>108</v>
      </c>
      <c r="C76">
        <v>695</v>
      </c>
      <c r="D76">
        <f t="shared" si="1"/>
        <v>0</v>
      </c>
      <c r="E76">
        <v>2370</v>
      </c>
      <c r="F76" t="s">
        <v>315</v>
      </c>
    </row>
    <row r="77" spans="1:6">
      <c r="A77">
        <v>2371</v>
      </c>
      <c r="B77" t="s">
        <v>143</v>
      </c>
      <c r="C77">
        <v>698</v>
      </c>
      <c r="D77">
        <f t="shared" si="1"/>
        <v>0</v>
      </c>
      <c r="E77">
        <v>2371</v>
      </c>
      <c r="F77" t="s">
        <v>316</v>
      </c>
    </row>
    <row r="78" spans="1:6">
      <c r="A78">
        <v>2375</v>
      </c>
      <c r="B78" t="s">
        <v>116</v>
      </c>
      <c r="C78">
        <v>703</v>
      </c>
      <c r="D78">
        <f t="shared" si="1"/>
        <v>0</v>
      </c>
      <c r="E78">
        <v>2375</v>
      </c>
      <c r="F78" t="s">
        <v>317</v>
      </c>
    </row>
    <row r="79" spans="1:6">
      <c r="A79">
        <v>2382</v>
      </c>
      <c r="B79" t="s">
        <v>43</v>
      </c>
      <c r="C79">
        <v>704</v>
      </c>
      <c r="D79">
        <f t="shared" si="1"/>
        <v>0</v>
      </c>
      <c r="E79">
        <v>2382</v>
      </c>
      <c r="F79" t="s">
        <v>318</v>
      </c>
    </row>
    <row r="80" spans="1:6">
      <c r="A80">
        <v>2386</v>
      </c>
      <c r="B80" t="s">
        <v>177</v>
      </c>
      <c r="C80">
        <v>705</v>
      </c>
      <c r="D80">
        <f t="shared" si="1"/>
        <v>0</v>
      </c>
      <c r="E80">
        <v>2386</v>
      </c>
      <c r="F80" t="s">
        <v>319</v>
      </c>
    </row>
    <row r="81" spans="1:6">
      <c r="A81">
        <v>2394</v>
      </c>
      <c r="B81" t="s">
        <v>171</v>
      </c>
      <c r="C81">
        <v>711</v>
      </c>
      <c r="D81">
        <f t="shared" si="1"/>
        <v>0</v>
      </c>
      <c r="E81">
        <v>2394</v>
      </c>
      <c r="F81" t="s">
        <v>320</v>
      </c>
    </row>
    <row r="82" spans="1:6">
      <c r="A82">
        <v>2401</v>
      </c>
      <c r="B82" t="s">
        <v>61</v>
      </c>
      <c r="C82">
        <v>715</v>
      </c>
      <c r="D82">
        <f t="shared" si="1"/>
        <v>0</v>
      </c>
      <c r="E82">
        <v>2401</v>
      </c>
      <c r="F82" t="s">
        <v>321</v>
      </c>
    </row>
    <row r="83" spans="1:6">
      <c r="A83">
        <v>2402</v>
      </c>
      <c r="B83" t="s">
        <v>100</v>
      </c>
      <c r="C83">
        <v>714</v>
      </c>
      <c r="D83">
        <f t="shared" si="1"/>
        <v>0</v>
      </c>
      <c r="E83">
        <v>2402</v>
      </c>
      <c r="F83" t="s">
        <v>322</v>
      </c>
    </row>
    <row r="84" spans="1:6">
      <c r="A84">
        <v>2414</v>
      </c>
      <c r="B84" t="s">
        <v>176</v>
      </c>
      <c r="C84">
        <v>721</v>
      </c>
      <c r="D84">
        <f t="shared" si="1"/>
        <v>0</v>
      </c>
      <c r="E84">
        <v>2414</v>
      </c>
      <c r="F84" t="s">
        <v>323</v>
      </c>
    </row>
    <row r="85" spans="1:6">
      <c r="A85">
        <v>2425</v>
      </c>
      <c r="B85" t="s">
        <v>121</v>
      </c>
      <c r="C85">
        <v>726</v>
      </c>
      <c r="D85">
        <f t="shared" si="1"/>
        <v>0</v>
      </c>
      <c r="E85">
        <v>2425</v>
      </c>
      <c r="F85" t="s">
        <v>324</v>
      </c>
    </row>
    <row r="86" spans="1:6">
      <c r="A86">
        <v>2426</v>
      </c>
      <c r="B86" t="s">
        <v>52</v>
      </c>
      <c r="C86">
        <v>727</v>
      </c>
      <c r="D86">
        <f t="shared" si="1"/>
        <v>0</v>
      </c>
      <c r="E86">
        <v>2426</v>
      </c>
      <c r="F86" t="s">
        <v>325</v>
      </c>
    </row>
    <row r="87" spans="1:6">
      <c r="A87">
        <v>2454</v>
      </c>
      <c r="B87" t="s">
        <v>46</v>
      </c>
      <c r="C87">
        <v>731</v>
      </c>
      <c r="D87">
        <f t="shared" si="1"/>
        <v>0</v>
      </c>
      <c r="E87">
        <v>2454</v>
      </c>
      <c r="F87" t="s">
        <v>326</v>
      </c>
    </row>
    <row r="88" spans="1:6">
      <c r="A88">
        <v>2456</v>
      </c>
      <c r="B88" t="s">
        <v>142</v>
      </c>
      <c r="C88">
        <v>732</v>
      </c>
      <c r="D88">
        <f t="shared" si="1"/>
        <v>0</v>
      </c>
      <c r="E88">
        <v>2456</v>
      </c>
      <c r="F88" t="s">
        <v>327</v>
      </c>
    </row>
    <row r="89" spans="1:6">
      <c r="A89">
        <v>2483</v>
      </c>
      <c r="B89" t="s">
        <v>76</v>
      </c>
      <c r="C89">
        <v>737</v>
      </c>
      <c r="D89">
        <f t="shared" si="1"/>
        <v>0</v>
      </c>
      <c r="E89">
        <v>2483</v>
      </c>
      <c r="F89" t="s">
        <v>328</v>
      </c>
    </row>
    <row r="90" spans="1:6">
      <c r="A90">
        <v>2504</v>
      </c>
      <c r="B90" t="s">
        <v>144</v>
      </c>
      <c r="C90">
        <v>739</v>
      </c>
      <c r="D90">
        <f t="shared" si="1"/>
        <v>0</v>
      </c>
      <c r="E90">
        <v>2504</v>
      </c>
      <c r="F90" t="s">
        <v>329</v>
      </c>
    </row>
    <row r="91" spans="1:6">
      <c r="A91">
        <v>2511</v>
      </c>
      <c r="B91" t="s">
        <v>139</v>
      </c>
      <c r="C91">
        <v>741</v>
      </c>
      <c r="D91">
        <f t="shared" si="1"/>
        <v>0</v>
      </c>
      <c r="E91">
        <v>2511</v>
      </c>
      <c r="F91" t="s">
        <v>330</v>
      </c>
    </row>
    <row r="92" spans="1:6">
      <c r="A92">
        <v>2513</v>
      </c>
      <c r="B92" t="s">
        <v>174</v>
      </c>
      <c r="C92">
        <v>743</v>
      </c>
      <c r="D92">
        <f t="shared" si="1"/>
        <v>0</v>
      </c>
      <c r="E92">
        <v>2513</v>
      </c>
      <c r="F92" t="s">
        <v>331</v>
      </c>
    </row>
    <row r="93" spans="1:6">
      <c r="A93">
        <v>2551</v>
      </c>
      <c r="B93" t="s">
        <v>178</v>
      </c>
      <c r="C93">
        <v>744</v>
      </c>
      <c r="D93">
        <f t="shared" si="1"/>
        <v>0</v>
      </c>
      <c r="E93">
        <v>2551</v>
      </c>
      <c r="F93" t="s">
        <v>332</v>
      </c>
    </row>
    <row r="94" spans="1:6">
      <c r="A94">
        <v>2581</v>
      </c>
      <c r="B94" t="s">
        <v>95</v>
      </c>
      <c r="C94">
        <v>754</v>
      </c>
      <c r="D94">
        <f t="shared" si="1"/>
        <v>0</v>
      </c>
      <c r="E94">
        <v>2581</v>
      </c>
      <c r="F94" t="s">
        <v>333</v>
      </c>
    </row>
    <row r="95" spans="1:6">
      <c r="A95">
        <v>2585</v>
      </c>
      <c r="B95" t="s">
        <v>180</v>
      </c>
      <c r="C95">
        <v>753</v>
      </c>
      <c r="D95">
        <f t="shared" si="1"/>
        <v>0</v>
      </c>
      <c r="E95">
        <v>2585</v>
      </c>
      <c r="F95" t="s">
        <v>334</v>
      </c>
    </row>
    <row r="96" spans="1:6">
      <c r="A96">
        <v>2588</v>
      </c>
      <c r="B96" t="s">
        <v>167</v>
      </c>
      <c r="C96">
        <v>756</v>
      </c>
      <c r="D96">
        <f t="shared" si="1"/>
        <v>0</v>
      </c>
      <c r="E96">
        <v>2588</v>
      </c>
      <c r="F96" t="s">
        <v>335</v>
      </c>
    </row>
    <row r="97" spans="1:6">
      <c r="A97">
        <v>2603</v>
      </c>
      <c r="B97" t="s">
        <v>63</v>
      </c>
      <c r="C97">
        <v>757</v>
      </c>
      <c r="D97">
        <f t="shared" si="1"/>
        <v>0</v>
      </c>
      <c r="E97">
        <v>2603</v>
      </c>
      <c r="F97" t="s">
        <v>336</v>
      </c>
    </row>
    <row r="98" spans="1:6">
      <c r="A98">
        <v>2613</v>
      </c>
      <c r="B98" t="s">
        <v>151</v>
      </c>
      <c r="C98">
        <v>761</v>
      </c>
      <c r="D98">
        <f t="shared" si="1"/>
        <v>0</v>
      </c>
      <c r="E98">
        <v>2613</v>
      </c>
      <c r="F98" t="s">
        <v>337</v>
      </c>
    </row>
    <row r="99" spans="1:6">
      <c r="A99">
        <v>2621</v>
      </c>
      <c r="B99" t="s">
        <v>31</v>
      </c>
      <c r="C99">
        <v>763</v>
      </c>
      <c r="D99">
        <f t="shared" si="1"/>
        <v>0</v>
      </c>
      <c r="E99">
        <v>2621</v>
      </c>
      <c r="F99" t="s">
        <v>338</v>
      </c>
    </row>
    <row r="100" spans="1:6">
      <c r="A100">
        <v>2705</v>
      </c>
      <c r="B100" t="s">
        <v>107</v>
      </c>
      <c r="C100">
        <v>765</v>
      </c>
      <c r="D100">
        <f t="shared" si="1"/>
        <v>0</v>
      </c>
      <c r="E100">
        <v>2705</v>
      </c>
      <c r="F100" t="s">
        <v>339</v>
      </c>
    </row>
    <row r="101" spans="1:6">
      <c r="A101">
        <v>2738</v>
      </c>
      <c r="B101" t="s">
        <v>85</v>
      </c>
      <c r="C101">
        <v>767</v>
      </c>
      <c r="D101">
        <f t="shared" si="1"/>
        <v>0</v>
      </c>
      <c r="E101">
        <v>2738</v>
      </c>
      <c r="F101" t="s">
        <v>340</v>
      </c>
    </row>
    <row r="102" spans="1:6">
      <c r="A102">
        <v>2739</v>
      </c>
      <c r="B102" t="s">
        <v>87</v>
      </c>
      <c r="C102">
        <v>1820</v>
      </c>
      <c r="D102">
        <f t="shared" si="1"/>
        <v>0</v>
      </c>
      <c r="E102">
        <v>2739</v>
      </c>
      <c r="F102" t="s">
        <v>341</v>
      </c>
    </row>
    <row r="103" spans="1:6">
      <c r="A103">
        <v>2744</v>
      </c>
      <c r="B103" t="s">
        <v>37</v>
      </c>
      <c r="C103">
        <v>768</v>
      </c>
      <c r="D103">
        <f t="shared" si="1"/>
        <v>0</v>
      </c>
      <c r="E103">
        <v>2744</v>
      </c>
      <c r="F103" t="s">
        <v>342</v>
      </c>
    </row>
    <row r="104" spans="1:6">
      <c r="A104">
        <v>2746</v>
      </c>
      <c r="B104" t="s">
        <v>51</v>
      </c>
      <c r="C104">
        <v>769</v>
      </c>
      <c r="D104">
        <f t="shared" si="1"/>
        <v>0</v>
      </c>
      <c r="E104">
        <v>2746</v>
      </c>
      <c r="F104" t="s">
        <v>343</v>
      </c>
    </row>
    <row r="105" spans="1:6">
      <c r="A105">
        <v>2788</v>
      </c>
      <c r="B105" t="s">
        <v>81</v>
      </c>
      <c r="C105">
        <v>771</v>
      </c>
      <c r="D105">
        <f t="shared" si="1"/>
        <v>0</v>
      </c>
      <c r="E105">
        <v>2788</v>
      </c>
      <c r="F105" t="s">
        <v>344</v>
      </c>
    </row>
    <row r="106" spans="1:6">
      <c r="A106">
        <v>2828</v>
      </c>
      <c r="B106" t="s">
        <v>72</v>
      </c>
      <c r="C106">
        <v>778</v>
      </c>
      <c r="D106">
        <f t="shared" si="1"/>
        <v>0</v>
      </c>
      <c r="E106">
        <v>2828</v>
      </c>
      <c r="F106" t="s">
        <v>345</v>
      </c>
    </row>
    <row r="107" spans="1:6">
      <c r="A107">
        <v>2831</v>
      </c>
      <c r="B107" t="s">
        <v>135</v>
      </c>
      <c r="C107">
        <v>779</v>
      </c>
      <c r="D107">
        <f t="shared" si="1"/>
        <v>0</v>
      </c>
      <c r="E107">
        <v>2831</v>
      </c>
      <c r="F107" t="s">
        <v>346</v>
      </c>
    </row>
    <row r="108" spans="1:6">
      <c r="A108">
        <v>2832</v>
      </c>
      <c r="B108" t="s">
        <v>170</v>
      </c>
      <c r="C108">
        <v>780</v>
      </c>
      <c r="D108">
        <f t="shared" si="1"/>
        <v>0</v>
      </c>
      <c r="E108">
        <v>2832</v>
      </c>
      <c r="F108" t="s">
        <v>347</v>
      </c>
    </row>
    <row r="109" spans="1:6">
      <c r="A109">
        <v>2843</v>
      </c>
      <c r="B109" t="s">
        <v>96</v>
      </c>
      <c r="C109">
        <v>777</v>
      </c>
      <c r="D109">
        <f t="shared" si="1"/>
        <v>0</v>
      </c>
      <c r="E109">
        <v>2843</v>
      </c>
      <c r="F109" t="s">
        <v>348</v>
      </c>
    </row>
    <row r="110" spans="1:6">
      <c r="A110">
        <v>2848</v>
      </c>
      <c r="B110" t="s">
        <v>97</v>
      </c>
      <c r="C110">
        <v>776</v>
      </c>
      <c r="D110">
        <f t="shared" si="1"/>
        <v>0</v>
      </c>
      <c r="E110">
        <v>2848</v>
      </c>
      <c r="F110" t="s">
        <v>349</v>
      </c>
    </row>
    <row r="111" spans="1:6">
      <c r="A111">
        <v>2853</v>
      </c>
      <c r="B111" t="s">
        <v>147</v>
      </c>
      <c r="C111">
        <v>783</v>
      </c>
      <c r="D111">
        <f t="shared" si="1"/>
        <v>0</v>
      </c>
      <c r="E111">
        <v>2853</v>
      </c>
      <c r="F111" t="s">
        <v>350</v>
      </c>
    </row>
    <row r="112" spans="1:6">
      <c r="A112">
        <v>2855</v>
      </c>
      <c r="B112" t="s">
        <v>98</v>
      </c>
      <c r="C112">
        <v>782</v>
      </c>
      <c r="D112">
        <f t="shared" si="1"/>
        <v>0</v>
      </c>
      <c r="E112">
        <v>2855</v>
      </c>
      <c r="F112" t="s">
        <v>351</v>
      </c>
    </row>
    <row r="113" spans="1:6">
      <c r="A113">
        <v>2862</v>
      </c>
      <c r="B113" t="s">
        <v>47</v>
      </c>
      <c r="C113">
        <v>786</v>
      </c>
      <c r="D113">
        <f t="shared" si="1"/>
        <v>0</v>
      </c>
      <c r="E113">
        <v>2862</v>
      </c>
      <c r="F113" t="s">
        <v>352</v>
      </c>
    </row>
    <row r="114" spans="1:6">
      <c r="A114">
        <v>2863</v>
      </c>
      <c r="B114" t="s">
        <v>128</v>
      </c>
      <c r="C114">
        <v>785</v>
      </c>
      <c r="D114">
        <f t="shared" si="1"/>
        <v>0</v>
      </c>
      <c r="E114">
        <v>2863</v>
      </c>
      <c r="F114" t="s">
        <v>353</v>
      </c>
    </row>
    <row r="115" spans="1:6">
      <c r="A115">
        <v>2864</v>
      </c>
      <c r="B115" t="s">
        <v>161</v>
      </c>
      <c r="C115">
        <v>784</v>
      </c>
      <c r="D115">
        <f t="shared" si="1"/>
        <v>0</v>
      </c>
      <c r="E115">
        <v>2864</v>
      </c>
      <c r="F115" t="s">
        <v>354</v>
      </c>
    </row>
    <row r="116" spans="1:6">
      <c r="A116">
        <v>2866</v>
      </c>
      <c r="B116" t="s">
        <v>80</v>
      </c>
      <c r="C116">
        <v>787</v>
      </c>
      <c r="D116">
        <f t="shared" si="1"/>
        <v>0</v>
      </c>
      <c r="E116">
        <v>2866</v>
      </c>
      <c r="F116" t="s">
        <v>355</v>
      </c>
    </row>
    <row r="117" spans="1:6">
      <c r="A117">
        <v>2867</v>
      </c>
      <c r="B117" t="s">
        <v>56</v>
      </c>
      <c r="C117">
        <v>788</v>
      </c>
      <c r="D117">
        <f t="shared" si="1"/>
        <v>0</v>
      </c>
      <c r="E117">
        <v>2867</v>
      </c>
      <c r="F117" t="s">
        <v>356</v>
      </c>
    </row>
    <row r="118" spans="1:6">
      <c r="A118">
        <v>2869</v>
      </c>
      <c r="B118" t="s">
        <v>77</v>
      </c>
      <c r="C118">
        <v>789</v>
      </c>
      <c r="D118">
        <f t="shared" si="1"/>
        <v>0</v>
      </c>
      <c r="E118">
        <v>2869</v>
      </c>
      <c r="F118" t="s">
        <v>357</v>
      </c>
    </row>
    <row r="119" spans="1:6">
      <c r="A119">
        <v>2870</v>
      </c>
      <c r="B119" t="s">
        <v>41</v>
      </c>
      <c r="C119">
        <v>790</v>
      </c>
      <c r="D119">
        <f t="shared" si="1"/>
        <v>0</v>
      </c>
      <c r="E119">
        <v>2870</v>
      </c>
      <c r="F119" t="s">
        <v>358</v>
      </c>
    </row>
    <row r="120" spans="1:6">
      <c r="A120">
        <v>2871</v>
      </c>
      <c r="B120" t="s">
        <v>109</v>
      </c>
      <c r="C120">
        <v>791</v>
      </c>
      <c r="D120">
        <f t="shared" si="1"/>
        <v>0</v>
      </c>
      <c r="E120">
        <v>2871</v>
      </c>
      <c r="F120" t="s">
        <v>359</v>
      </c>
    </row>
    <row r="121" spans="1:6">
      <c r="A121">
        <v>2873</v>
      </c>
      <c r="B121" t="s">
        <v>59</v>
      </c>
      <c r="C121">
        <v>794</v>
      </c>
      <c r="D121">
        <f t="shared" si="1"/>
        <v>0</v>
      </c>
      <c r="E121">
        <v>2873</v>
      </c>
      <c r="F121" t="s">
        <v>360</v>
      </c>
    </row>
    <row r="122" spans="1:6">
      <c r="A122">
        <v>2874</v>
      </c>
      <c r="B122" t="s">
        <v>164</v>
      </c>
      <c r="C122">
        <v>796</v>
      </c>
      <c r="D122">
        <f t="shared" si="1"/>
        <v>0</v>
      </c>
      <c r="E122">
        <v>2874</v>
      </c>
      <c r="F122" t="s">
        <v>361</v>
      </c>
    </row>
    <row r="123" spans="1:6">
      <c r="A123">
        <v>2875</v>
      </c>
      <c r="B123" t="s">
        <v>78</v>
      </c>
      <c r="C123">
        <v>795</v>
      </c>
      <c r="D123">
        <f t="shared" si="1"/>
        <v>0</v>
      </c>
      <c r="E123">
        <v>2875</v>
      </c>
      <c r="F123" t="s">
        <v>362</v>
      </c>
    </row>
    <row r="124" spans="1:6">
      <c r="A124">
        <v>2876</v>
      </c>
      <c r="B124" t="s">
        <v>183</v>
      </c>
      <c r="C124">
        <v>793</v>
      </c>
      <c r="D124">
        <f t="shared" si="1"/>
        <v>0</v>
      </c>
      <c r="E124">
        <v>2876</v>
      </c>
      <c r="F124" t="s">
        <v>363</v>
      </c>
    </row>
    <row r="125" spans="1:6">
      <c r="A125">
        <v>2879</v>
      </c>
      <c r="B125" t="s">
        <v>79</v>
      </c>
      <c r="C125">
        <v>797</v>
      </c>
      <c r="D125">
        <f t="shared" si="1"/>
        <v>0</v>
      </c>
      <c r="E125">
        <v>2879</v>
      </c>
      <c r="F125" t="s">
        <v>364</v>
      </c>
    </row>
    <row r="126" spans="1:6">
      <c r="A126">
        <v>2881</v>
      </c>
      <c r="B126" t="s">
        <v>175</v>
      </c>
      <c r="C126">
        <v>804</v>
      </c>
      <c r="D126">
        <f t="shared" si="1"/>
        <v>0</v>
      </c>
      <c r="E126">
        <v>2881</v>
      </c>
      <c r="F126" t="s">
        <v>365</v>
      </c>
    </row>
    <row r="127" spans="1:6">
      <c r="A127">
        <v>2882</v>
      </c>
      <c r="B127" t="s">
        <v>125</v>
      </c>
      <c r="C127">
        <v>799</v>
      </c>
      <c r="D127">
        <f t="shared" si="1"/>
        <v>0</v>
      </c>
      <c r="E127">
        <v>2882</v>
      </c>
      <c r="F127" t="s">
        <v>366</v>
      </c>
    </row>
    <row r="128" spans="1:6">
      <c r="A128">
        <v>2883</v>
      </c>
      <c r="B128" t="s">
        <v>181</v>
      </c>
      <c r="C128">
        <v>800</v>
      </c>
      <c r="D128">
        <f t="shared" si="1"/>
        <v>0</v>
      </c>
      <c r="E128">
        <v>2883</v>
      </c>
      <c r="F128" t="s">
        <v>367</v>
      </c>
    </row>
    <row r="129" spans="1:6">
      <c r="A129">
        <v>2884</v>
      </c>
      <c r="B129" t="s">
        <v>66</v>
      </c>
      <c r="C129">
        <v>803</v>
      </c>
      <c r="D129">
        <f t="shared" si="1"/>
        <v>0</v>
      </c>
      <c r="E129">
        <v>2884</v>
      </c>
      <c r="F129" t="s">
        <v>368</v>
      </c>
    </row>
    <row r="130" spans="1:6">
      <c r="A130">
        <v>2885</v>
      </c>
      <c r="B130" t="s">
        <v>73</v>
      </c>
      <c r="C130">
        <v>801</v>
      </c>
      <c r="D130">
        <f t="shared" ref="D130:D146" si="2">A130-E130</f>
        <v>0</v>
      </c>
      <c r="E130">
        <v>2885</v>
      </c>
      <c r="F130" t="s">
        <v>369</v>
      </c>
    </row>
    <row r="131" spans="1:6">
      <c r="A131">
        <v>2886</v>
      </c>
      <c r="B131" t="s">
        <v>127</v>
      </c>
      <c r="C131">
        <v>802</v>
      </c>
      <c r="D131">
        <f t="shared" si="2"/>
        <v>0</v>
      </c>
      <c r="E131">
        <v>2886</v>
      </c>
      <c r="F131" t="s">
        <v>370</v>
      </c>
    </row>
    <row r="132" spans="1:6">
      <c r="A132">
        <v>2887</v>
      </c>
      <c r="B132" t="s">
        <v>155</v>
      </c>
      <c r="C132">
        <v>806</v>
      </c>
      <c r="D132">
        <f t="shared" si="2"/>
        <v>0</v>
      </c>
      <c r="E132">
        <v>2887</v>
      </c>
      <c r="F132" t="s">
        <v>371</v>
      </c>
    </row>
    <row r="133" spans="1:6">
      <c r="A133">
        <v>2892</v>
      </c>
      <c r="B133" t="s">
        <v>163</v>
      </c>
      <c r="C133">
        <v>805</v>
      </c>
      <c r="D133">
        <f t="shared" si="2"/>
        <v>0</v>
      </c>
      <c r="E133">
        <v>2892</v>
      </c>
      <c r="F133" t="s">
        <v>372</v>
      </c>
    </row>
    <row r="134" spans="1:6">
      <c r="A134">
        <v>2895</v>
      </c>
      <c r="B134" t="s">
        <v>129</v>
      </c>
      <c r="C134">
        <v>807</v>
      </c>
      <c r="D134">
        <f t="shared" si="2"/>
        <v>0</v>
      </c>
      <c r="E134">
        <v>2895</v>
      </c>
      <c r="F134" t="s">
        <v>373</v>
      </c>
    </row>
    <row r="135" spans="1:6">
      <c r="A135">
        <v>2897</v>
      </c>
      <c r="B135" t="s">
        <v>69</v>
      </c>
      <c r="C135">
        <v>808</v>
      </c>
      <c r="D135">
        <f t="shared" si="2"/>
        <v>0</v>
      </c>
      <c r="E135">
        <v>2897</v>
      </c>
      <c r="F135" t="s">
        <v>374</v>
      </c>
    </row>
    <row r="136" spans="1:6">
      <c r="A136">
        <v>2898</v>
      </c>
      <c r="B136" t="s">
        <v>149</v>
      </c>
      <c r="C136">
        <v>809</v>
      </c>
      <c r="D136">
        <f t="shared" si="2"/>
        <v>0</v>
      </c>
      <c r="E136">
        <v>2898</v>
      </c>
      <c r="F136" t="s">
        <v>375</v>
      </c>
    </row>
    <row r="137" spans="1:6">
      <c r="A137">
        <v>2899</v>
      </c>
      <c r="B137" t="s">
        <v>119</v>
      </c>
      <c r="C137">
        <v>810</v>
      </c>
      <c r="D137">
        <f t="shared" si="2"/>
        <v>0</v>
      </c>
      <c r="E137">
        <v>2899</v>
      </c>
      <c r="F137" t="s">
        <v>376</v>
      </c>
    </row>
    <row r="138" spans="1:6">
      <c r="D138">
        <f t="shared" si="2"/>
        <v>0</v>
      </c>
    </row>
    <row r="139" spans="1:6">
      <c r="D139">
        <f t="shared" si="2"/>
        <v>0</v>
      </c>
    </row>
    <row r="140" spans="1:6">
      <c r="D140">
        <f t="shared" si="2"/>
        <v>0</v>
      </c>
    </row>
    <row r="141" spans="1:6">
      <c r="D141">
        <f t="shared" si="2"/>
        <v>0</v>
      </c>
    </row>
    <row r="142" spans="1:6">
      <c r="D142">
        <f t="shared" si="2"/>
        <v>0</v>
      </c>
    </row>
    <row r="143" spans="1:6">
      <c r="D143">
        <f t="shared" si="2"/>
        <v>0</v>
      </c>
    </row>
    <row r="144" spans="1:6">
      <c r="D144">
        <f t="shared" si="2"/>
        <v>0</v>
      </c>
    </row>
    <row r="145" spans="4:4">
      <c r="D145">
        <f t="shared" si="2"/>
        <v>0</v>
      </c>
    </row>
    <row r="146" spans="4:4">
      <c r="D146">
        <f t="shared" si="2"/>
        <v>0</v>
      </c>
    </row>
  </sheetData>
  <sortState xmlns:xlrd2="http://schemas.microsoft.com/office/spreadsheetml/2017/richdata2" ref="A1:C145">
    <sortCondition ref="A1:A14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Sheet</vt:lpstr>
      <vt:lpstr>Emprestimos</vt:lpstr>
      <vt:lpstr>GRRF</vt:lpstr>
      <vt:lpstr>eSocial</vt:lpstr>
      <vt:lpstr>eCAC</vt:lpstr>
      <vt:lpstr>1210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Hélio Henrique</cp:lastModifiedBy>
  <dcterms:created xsi:type="dcterms:W3CDTF">2026-04-02T18:30:08Z</dcterms:created>
  <dcterms:modified xsi:type="dcterms:W3CDTF">2026-04-15T16:17:26Z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